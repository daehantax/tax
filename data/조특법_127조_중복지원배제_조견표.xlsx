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(절대 삭제금지)\Desktop\조특법\"/>
    </mc:Choice>
  </mc:AlternateContent>
  <bookViews>
    <workbookView xWindow="0" yWindow="0" windowWidth="28800" windowHeight="11400" firstSheet="2" activeTab="2"/>
  </bookViews>
  <sheets>
    <sheet name="조문_구조요약" sheetId="1" r:id="rId1"/>
    <sheet name="제1항_투자금액차감" sheetId="2" r:id="rId2"/>
    <sheet name="제2항_세액공제_선택" sheetId="3" r:id="rId3"/>
    <sheet name="제4항_감면공제_매트릭스" sheetId="4" r:id="rId4"/>
    <sheet name="제5항_감면간_택1" sheetId="5" r:id="rId5"/>
    <sheet name="제7_9항_양도소득세" sheetId="6" r:id="rId6"/>
    <sheet name="프로그램용_통합매트릭스" sheetId="7" r:id="rId7"/>
    <sheet name="제10_11항_특례" sheetId="8" r:id="rId8"/>
    <sheet name="실무_체크리스트" sheetId="9" r:id="rId9"/>
  </sheets>
  <calcPr calcId="152511"/>
  <fileRecoveryPr repairLoad="1"/>
</workbook>
</file>

<file path=xl/calcChain.xml><?xml version="1.0" encoding="utf-8"?>
<calcChain xmlns="http://schemas.openxmlformats.org/spreadsheetml/2006/main">
  <c r="B29" i="4" l="1"/>
  <c r="B31" i="4"/>
</calcChain>
</file>

<file path=xl/sharedStrings.xml><?xml version="1.0" encoding="utf-8"?>
<sst xmlns="http://schemas.openxmlformats.org/spreadsheetml/2006/main" count="1020" uniqueCount="381">
  <si>
    <t>조세특례제한법 제127조 [중복지원 배제] - 구조 요약</t>
  </si>
  <si>
    <t>최종 개정: 2025.12.23</t>
  </si>
  <si>
    <t>항</t>
  </si>
  <si>
    <t>유형</t>
  </si>
  <si>
    <t>제목</t>
  </si>
  <si>
    <t>적용대상</t>
  </si>
  <si>
    <t>핵심내용</t>
  </si>
  <si>
    <t>제1항</t>
  </si>
  <si>
    <t>투자금액 차감</t>
  </si>
  <si>
    <t>국가·공공기관 출연금·융자 등을 받은 경우</t>
  </si>
  <si>
    <t>§8의3③, §24, §26, §104의15①</t>
  </si>
  <si>
    <t>출연금·이자지원금·공사부담금을 투자금액에서 차감</t>
  </si>
  <si>
    <t>제2항</t>
  </si>
  <si>
    <t>선택 적용 (세액공제 간)</t>
  </si>
  <si>
    <t>동일 투자자산 또는 동일 과세연도</t>
  </si>
  <si>
    <t>§8의3③ + §24 + §26 (3개)
§19① + §29의4
§26 + §29의5
§26 + §30의4</t>
  </si>
  <si>
    <t>★ 동시 적용 시 하나만 선택</t>
  </si>
  <si>
    <t>제3항</t>
  </si>
  <si>
    <t>외투감면 시 내국인지분 조정</t>
  </si>
  <si>
    <t>외국인투자 감면(§121의2·§121의4) 적용</t>
  </si>
  <si>
    <t>§8의3③, §24, §26, §29의5, §29의7, §29의8①,
§30의4, §104의14, §104의15</t>
  </si>
  <si>
    <t>내국인 지분비율 곱한 금액만 공제</t>
  </si>
  <si>
    <t>제4항</t>
  </si>
  <si>
    <t>선택 적용 (세액감면 ↔ 세액공제)</t>
  </si>
  <si>
    <t>동일 과세연도 내</t>
  </si>
  <si>
    <t>감면(§6, §7, §12의2 등 21개) ↔
공제(§8의3, §24, §29의7 등 15개)</t>
  </si>
  <si>
    <t>★★★ 가장 중요
하나만 선택 / §6 + §29의7·§29의8 동시 불가</t>
  </si>
  <si>
    <t>제5항</t>
  </si>
  <si>
    <t>선택 적용 (세액감면 간)</t>
  </si>
  <si>
    <t>동일 사업장 + 동일 과세연도</t>
  </si>
  <si>
    <t>§6, §7, §12의2 등 18개 감면 + §121의2·§121의4</t>
  </si>
  <si>
    <t>둘 이상 적용 시 하나만 선택</t>
  </si>
  <si>
    <t>제6항</t>
  </si>
  <si>
    <t>지방세 감면 선택</t>
  </si>
  <si>
    <t>외국인투자 지방세 감면</t>
  </si>
  <si>
    <t>§121의2 + §121의4 (취득세·재산세)</t>
  </si>
  <si>
    <t>하나만 선택</t>
  </si>
  <si>
    <t>제7항</t>
  </si>
  <si>
    <t>양도소득세 감면 간 선택</t>
  </si>
  <si>
    <t>거주자가 토지 등 양도</t>
  </si>
  <si>
    <t>양도소득세 감면 전체</t>
  </si>
  <si>
    <t>하나만 선택 / 일부 면적 분할 가능</t>
  </si>
  <si>
    <t>제8항</t>
  </si>
  <si>
    <t>양도세 특정 조합</t>
  </si>
  <si>
    <t>거주자가 토지등 양도</t>
  </si>
  <si>
    <t>§77 + §85의7</t>
  </si>
  <si>
    <t>제9항</t>
  </si>
  <si>
    <t>주택 양도세 조합</t>
  </si>
  <si>
    <t>거주자가 주택 양도</t>
  </si>
  <si>
    <t>§98의2 + §98의3</t>
  </si>
  <si>
    <t>제10항</t>
  </si>
  <si>
    <t>구분경리 예외</t>
  </si>
  <si>
    <t>§143 세액감면사업과 기타사업 구분경리</t>
  </si>
  <si>
    <t>제3·4항 관련</t>
  </si>
  <si>
    <t>★ 구분경리 시 감면+공제 동시 가능 (중복 아님)</t>
  </si>
  <si>
    <t>제11항</t>
  </si>
  <si>
    <t>§29의8① 적용요건</t>
  </si>
  <si>
    <t>통합고용 추가공제</t>
  </si>
  <si>
    <t>§29의8① vs §29의7, §30의4</t>
  </si>
  <si>
    <t>§29의7·§30의4 공제 안 받은 경우만 §29의8① 적용</t>
  </si>
  <si>
    <t>제127조 제1항 - 투자금액에서 차감되는 정부지원 (출연금·융자·이자지원·공사부담금)</t>
  </si>
  <si>
    <t>1. 적용대상 세액공제</t>
  </si>
  <si>
    <t>조문</t>
  </si>
  <si>
    <t>세액공제 명칭</t>
  </si>
  <si>
    <t>§8의3 제3항</t>
  </si>
  <si>
    <t>상생협력을 위한 기금 출연 세액공제</t>
  </si>
  <si>
    <t>§24</t>
  </si>
  <si>
    <t>통합투자세액공제 ★ 주요</t>
  </si>
  <si>
    <t>§26</t>
  </si>
  <si>
    <t>고용창출투자세액공제</t>
  </si>
  <si>
    <t>§104의15 제1항</t>
  </si>
  <si>
    <t>해외자원개발투자 배당소득 법인세 과세특례</t>
  </si>
  <si>
    <t>2. 차감 대상 지원금 (4가지 유형)</t>
  </si>
  <si>
    <t>호</t>
  </si>
  <si>
    <t>지원 유형</t>
  </si>
  <si>
    <t>지원 주체</t>
  </si>
  <si>
    <t>차감 금액</t>
  </si>
  <si>
    <t>근거</t>
  </si>
  <si>
    <t>제1호</t>
  </si>
  <si>
    <t>출연금 등을 직접 수령</t>
  </si>
  <si>
    <t>국가·지방자치단체·공공기관(공공기관 운영법)·지방공기업(지방공기업법)</t>
  </si>
  <si>
    <t>출연금 등 자산 중 투자·출자에 지출한 금액 전액</t>
  </si>
  <si>
    <t>§127①1호</t>
  </si>
  <si>
    <t>제2호</t>
  </si>
  <si>
    <t>금융기관 융자의 이자지원</t>
  </si>
  <si>
    <t>국가등이 내국인 대신 금융회사에 이자 지급</t>
  </si>
  <si>
    <t>대통령령 계산액 (국가등이 지급한 이자비용 상당액)</t>
  </si>
  <si>
    <t>§127①2호</t>
  </si>
  <si>
    <t>제3호</t>
  </si>
  <si>
    <t>국가등의 직접 융자</t>
  </si>
  <si>
    <t>국가·공공기관 등으로부터 직접 융자</t>
  </si>
  <si>
    <t>대통령령 계산액 (이자지원금 상당액)</t>
  </si>
  <si>
    <t>§127①3호</t>
  </si>
  <si>
    <t>제4호</t>
  </si>
  <si>
    <t>공사부담금</t>
  </si>
  <si>
    <t>법인세법 §37① 사업 자산의 수요자·편익자로부터</t>
  </si>
  <si>
    <t>공사부담금 중 투자에 지출한 금액 전액</t>
  </si>
  <si>
    <t>§127①4호
(2021.12.28 신설)</t>
  </si>
  <si>
    <t>3. 계산구조</t>
  </si>
  <si>
    <t>공제대상 투자금액 = 실제 투자금액 - (출연금 + 이자지원액 + 공사부담금)</t>
  </si>
  <si>
    <t>제127조 제2항 - 세액공제 간 선택 적용</t>
  </si>
  <si>
    <t>[Case 1] 동일 투자자산에 동시 적용 가능 → 하나만 선택</t>
  </si>
  <si>
    <t>그룹</t>
  </si>
  <si>
    <t>선택 기준</t>
  </si>
  <si>
    <t>투자자산 3중 배제</t>
  </si>
  <si>
    <t>상생협력 기금 출연</t>
  </si>
  <si>
    <t>3개 중 1개 선택</t>
  </si>
  <si>
    <t>통합투자세액공제</t>
  </si>
  <si>
    <t>동일 투자자산 해당 시</t>
  </si>
  <si>
    <t>공제율 유리한 것</t>
  </si>
  <si>
    <t>[Case 2] 동일 과세연도 내 동시 적용 가능 → 하나만 선택 (3쌍)</t>
  </si>
  <si>
    <t>쌍 1</t>
  </si>
  <si>
    <t>§19 제1항</t>
  </si>
  <si>
    <t>경영성과급 세액공제</t>
  </si>
  <si>
    <t>↕ §29의4와 택일</t>
  </si>
  <si>
    <t>§29의4</t>
  </si>
  <si>
    <t>정규직 근로자 전환 세액공제</t>
  </si>
  <si>
    <t>쌍 2</t>
  </si>
  <si>
    <t>↕ §29의5와 택일</t>
  </si>
  <si>
    <t>§29의5</t>
  </si>
  <si>
    <t>경력단절여성 고용 세액공제</t>
  </si>
  <si>
    <t>쌍 3</t>
  </si>
  <si>
    <t>↕ §30의4와 택일</t>
  </si>
  <si>
    <t>§30의4</t>
  </si>
  <si>
    <t>청년·핵심인력 성과보상기금 세액공제</t>
  </si>
  <si>
    <t>★★★ 제127조 제4항 - 세액감면 vs 세액공제 중복배제 매트릭스 (핵심)</t>
  </si>
  <si>
    <t>동일 과세연도 내 '세액감면(왼쪽)'과 '세액공제(위)'가 동시 적용 가능 → 하나만 선택</t>
  </si>
  <si>
    <t>세액감면 \ 세액공제</t>
  </si>
  <si>
    <t>§8의3
상생협력</t>
  </si>
  <si>
    <t>§13의2
기술혁신형 주식취득</t>
  </si>
  <si>
    <t>§24
통합투자</t>
  </si>
  <si>
    <t>§25의6
영상콘텐츠</t>
  </si>
  <si>
    <t>§25의8
초연결 네트워크</t>
  </si>
  <si>
    <t>§26
고용창출투자</t>
  </si>
  <si>
    <t>§29의7
통합고용</t>
  </si>
  <si>
    <t>§29의8
통합고용(추가)</t>
  </si>
  <si>
    <t>§30의4
청년·핵심인력</t>
  </si>
  <si>
    <t>§104의14
해외자원개발투자</t>
  </si>
  <si>
    <t>§104의15
해외자원개발배당</t>
  </si>
  <si>
    <t>§104의22
법인현물출자</t>
  </si>
  <si>
    <t>§104의25
석유제품 전자상거래</t>
  </si>
  <si>
    <t>§104의35
금 현물시장</t>
  </si>
  <si>
    <t>§122의4①
성실신고 확인비용</t>
  </si>
  <si>
    <t>§126의7⑧
전자계산서 발급</t>
  </si>
  <si>
    <t>§6</t>
  </si>
  <si>
    <t>창업중소기업 감면</t>
  </si>
  <si>
    <t>X
택1</t>
  </si>
  <si>
    <t>◎
특별제한</t>
  </si>
  <si>
    <t>§7</t>
  </si>
  <si>
    <t>중소기업 특별세액감면</t>
  </si>
  <si>
    <t>○
동시적용</t>
  </si>
  <si>
    <t>§12의2</t>
  </si>
  <si>
    <t>연구개발특구 감면</t>
  </si>
  <si>
    <t>§31④⑤</t>
  </si>
  <si>
    <t>중소기업 통합 이월과세</t>
  </si>
  <si>
    <t>§32④</t>
  </si>
  <si>
    <t>법인전환 이월과세</t>
  </si>
  <si>
    <t>§62④</t>
  </si>
  <si>
    <t>성실사업자 의료비 세액공제</t>
  </si>
  <si>
    <t>§63①</t>
  </si>
  <si>
    <t>중소기업 지방이전 감면</t>
  </si>
  <si>
    <t>§63의2①</t>
  </si>
  <si>
    <t>수도권밖 이전 법인</t>
  </si>
  <si>
    <t>§64</t>
  </si>
  <si>
    <t>농공단지입주기업 감면</t>
  </si>
  <si>
    <t>§66~68</t>
  </si>
  <si>
    <t>영농·영어·농업회사법인</t>
  </si>
  <si>
    <t>§85의6①②</t>
  </si>
  <si>
    <t>사회적기업·장애인표준</t>
  </si>
  <si>
    <t>§99의9②</t>
  </si>
  <si>
    <t>제주첨단과학기술단지</t>
  </si>
  <si>
    <t>§99의11①</t>
  </si>
  <si>
    <t>제주투자진흥지구</t>
  </si>
  <si>
    <t>§104의24①</t>
  </si>
  <si>
    <t>해저광물자원개발</t>
  </si>
  <si>
    <t>§121의8</t>
  </si>
  <si>
    <t>§121의9②</t>
  </si>
  <si>
    <t>§121의17②</t>
  </si>
  <si>
    <t>기업도시개발구역</t>
  </si>
  <si>
    <t>§121의20②</t>
  </si>
  <si>
    <t>아시아문화중심도시</t>
  </si>
  <si>
    <t>§121의21②</t>
  </si>
  <si>
    <t>금융중심지</t>
  </si>
  <si>
    <t>§121의22②</t>
  </si>
  <si>
    <t>첨단의료복합단지</t>
  </si>
  <si>
    <t>§121의33②</t>
  </si>
  <si>
    <t>기회발전특구</t>
  </si>
  <si>
    <t>[범례]</t>
  </si>
  <si>
    <t>X 택1</t>
  </si>
  <si>
    <t>○ 동시적용</t>
  </si>
  <si>
    <t>◎ 특별제한</t>
  </si>
  <si>
    <t>※ §10(R&amp;D)은 제4항 매트릭스에 해당 없음 - 감면·공제 구분 없이 독립적으로 적용 가능</t>
  </si>
  <si>
    <t>제127조 제5항 - 동일 사업장·동일 과세연도 세액감면 간 택1</t>
  </si>
  <si>
    <t>아래 감면 중 둘 이상이 동일 사업장에 적용 가능 → 하나만 선택</t>
  </si>
  <si>
    <t>감면 명칭</t>
  </si>
  <si>
    <t>비고</t>
  </si>
  <si>
    <t>중소기업 감면</t>
  </si>
  <si>
    <t>창업중소기업 세액감면</t>
  </si>
  <si>
    <t>★ 주요</t>
  </si>
  <si>
    <t>연구개발 감면</t>
  </si>
  <si>
    <t>연구개발특구 입주기업 감면</t>
  </si>
  <si>
    <t>통합·전환</t>
  </si>
  <si>
    <t>§31 제4·5항</t>
  </si>
  <si>
    <t>§32 제4항</t>
  </si>
  <si>
    <t>성실사업자</t>
  </si>
  <si>
    <t>§62 제4항</t>
  </si>
  <si>
    <t>지방이전</t>
  </si>
  <si>
    <t>§63 제1항</t>
  </si>
  <si>
    <t>§63의2 제1항</t>
  </si>
  <si>
    <t>수도권 밖 이전 법인 감면</t>
  </si>
  <si>
    <t>단지·지역</t>
  </si>
  <si>
    <t>사회적기업</t>
  </si>
  <si>
    <t>§85의6 제1항·제2항</t>
  </si>
  <si>
    <t>사회적기업·장애인표준사업장</t>
  </si>
  <si>
    <t>지역특구</t>
  </si>
  <si>
    <t>§99의9 제2항</t>
  </si>
  <si>
    <t>§99의11 제1항</t>
  </si>
  <si>
    <t>해저광물</t>
  </si>
  <si>
    <t>§104의24 제1항</t>
  </si>
  <si>
    <t>§121의9 제2항</t>
  </si>
  <si>
    <t>§121의17 제2항</t>
  </si>
  <si>
    <t>§121의20 제2항</t>
  </si>
  <si>
    <t>§121의21 제2항</t>
  </si>
  <si>
    <t>§121의22 제2항</t>
  </si>
  <si>
    <t>§121의33 제2항</t>
  </si>
  <si>
    <t>외국인투자</t>
  </si>
  <si>
    <t>§121의2</t>
  </si>
  <si>
    <t>외국인투자 감면</t>
  </si>
  <si>
    <t>★ 소득세·법인세 감면</t>
  </si>
  <si>
    <t>§121의4</t>
  </si>
  <si>
    <t>제127조 제7·8·9항 - 양도소득세 감면 중복배제</t>
  </si>
  <si>
    <t>적용상황</t>
  </si>
  <si>
    <t>배제 규정</t>
  </si>
  <si>
    <t>거주자가 토지 등을 양도하여 둘 이상 양도소득세 감면 동시 적용 가능</t>
  </si>
  <si>
    <t>거주자 선택 감면 1개만 적용</t>
  </si>
  <si>
    <t>★ 단서: 토지 등의 일부에 특정 감면 적용 시 → 남은 부분에 다른 감면 적용 가능</t>
  </si>
  <si>
    <t>거주자가 토지 등을 양도</t>
  </si>
  <si>
    <t>§77 + §85의7 동시 적용 시 택1</t>
  </si>
  <si>
    <t>§77: 공익사업용 토지 감면
§85의7: 특정 양도세 감면</t>
  </si>
  <si>
    <t>거주자가 주택을 양도</t>
  </si>
  <si>
    <t>§98의2 + §98의3 동시 적용 시 택1</t>
  </si>
  <si>
    <t>§98의2: 미분양주택 취득자 양도세 감면
§98의3: 신축주택 취득자 양도세 감면</t>
  </si>
  <si>
    <t>★★★ 프로그램 제작용 - 감면·공제 중복배제 관계 DB</t>
  </si>
  <si>
    <t>각 행: A감면 선택 시 → B감면 동시 적용 가능 여부 / 웹에서 JSON으로 바로 변환 가능</t>
  </si>
  <si>
    <t>감면A (조문)</t>
  </si>
  <si>
    <t>감면A 명칭</t>
  </si>
  <si>
    <t>감면B (조문)</t>
  </si>
  <si>
    <t>감면B 명칭</t>
  </si>
  <si>
    <t>관계</t>
  </si>
  <si>
    <t>근거 항</t>
  </si>
  <si>
    <t>§8의3③</t>
  </si>
  <si>
    <t>상생협력 출연</t>
  </si>
  <si>
    <t>택1 (동일 투자자산)</t>
  </si>
  <si>
    <t>§127②</t>
  </si>
  <si>
    <t>고용창출투자</t>
  </si>
  <si>
    <t>§19①</t>
  </si>
  <si>
    <t>경영성과급</t>
  </si>
  <si>
    <t>정규직 전환</t>
  </si>
  <si>
    <t>택1 (동일 과세연도)</t>
  </si>
  <si>
    <t>경력단절여성</t>
  </si>
  <si>
    <t>청년·핵심인력</t>
  </si>
  <si>
    <t>§127④</t>
  </si>
  <si>
    <t>§29의7</t>
  </si>
  <si>
    <t>통합고용세액공제</t>
  </si>
  <si>
    <t>★ 불가 (단서)</t>
  </si>
  <si>
    <t>§127④ 단서</t>
  </si>
  <si>
    <t>§29의8</t>
  </si>
  <si>
    <t>§25의6</t>
  </si>
  <si>
    <t>영상콘텐츠</t>
  </si>
  <si>
    <t>택1</t>
  </si>
  <si>
    <t>§25의8</t>
  </si>
  <si>
    <t>초연결 네트워크</t>
  </si>
  <si>
    <t>§13의2</t>
  </si>
  <si>
    <t>기술혁신형 주식취득</t>
  </si>
  <si>
    <t>§8의3</t>
  </si>
  <si>
    <t>§104의14</t>
  </si>
  <si>
    <t>해외자원개발투자</t>
  </si>
  <si>
    <t>§104의15</t>
  </si>
  <si>
    <t>해외자원개발배당</t>
  </si>
  <si>
    <t>§104의22</t>
  </si>
  <si>
    <t>법인현물출자</t>
  </si>
  <si>
    <t>§104의25</t>
  </si>
  <si>
    <t>석유제품 전자상거래</t>
  </si>
  <si>
    <t>§104의35</t>
  </si>
  <si>
    <t>금 현물시장</t>
  </si>
  <si>
    <t>§122의4①</t>
  </si>
  <si>
    <t>성실신고 확인비용</t>
  </si>
  <si>
    <t>§126의7⑧</t>
  </si>
  <si>
    <t>전자계산서 발급</t>
  </si>
  <si>
    <t>★ 동시 적용 가능 (단서 예외)</t>
  </si>
  <si>
    <t>택1 (동일 사업장)</t>
  </si>
  <si>
    <t>§127⑤</t>
  </si>
  <si>
    <t>중소기업 지방이전</t>
  </si>
  <si>
    <t>농공단지입주기업</t>
  </si>
  <si>
    <t>택1 (지방세 §127⑥)</t>
  </si>
  <si>
    <t>§127⑤⑥</t>
  </si>
  <si>
    <t>§29의8①</t>
  </si>
  <si>
    <t>★ §29의7 공제 안 받아야 적용</t>
  </si>
  <si>
    <t>§127⑪</t>
  </si>
  <si>
    <t>★ §30의4 공제 안 받아야 적용</t>
  </si>
  <si>
    <t>§77</t>
  </si>
  <si>
    <t>공익사업용 토지</t>
  </si>
  <si>
    <t>§85의7</t>
  </si>
  <si>
    <t>특정 양도세 감면</t>
  </si>
  <si>
    <t>택1 (토지 양도)</t>
  </si>
  <si>
    <t>§127⑧</t>
  </si>
  <si>
    <t>§98의2</t>
  </si>
  <si>
    <t>미분양주택 양도세</t>
  </si>
  <si>
    <t>§98의3</t>
  </si>
  <si>
    <t>신축주택 양도세</t>
  </si>
  <si>
    <t>택1 (주택 양도)</t>
  </si>
  <si>
    <t>§127⑨</t>
  </si>
  <si>
    <t>제127조 제10항·제11항 - 특례 규정</t>
  </si>
  <si>
    <t>제10항 - 구분경리 시 중복지원 아님</t>
  </si>
  <si>
    <t>요건</t>
  </si>
  <si>
    <t>내용</t>
  </si>
  <si>
    <t>효과</t>
  </si>
  <si>
    <t>§143에 따른 구분경리</t>
  </si>
  <si>
    <t>세액감면 적용사업과 그 밖의 사업을 구분경리</t>
  </si>
  <si>
    <t>기본 요건</t>
  </si>
  <si>
    <t>그 밖의 사업에 공제 적용</t>
  </si>
  <si>
    <t>다른 사업에서 세액공제 규정 적용</t>
  </si>
  <si>
    <t>감면사업 ≠ 공제사업</t>
  </si>
  <si>
    <t>★ 결과</t>
  </si>
  <si>
    <t>해당 세액감면과 공제는 중복지원에 해당하지 않음</t>
  </si>
  <si>
    <t>제3·4항 배제규정 미적용</t>
  </si>
  <si>
    <t>제11항 - §29의8①(통합고용 추가공제) 적용 요건</t>
  </si>
  <si>
    <t>조건</t>
  </si>
  <si>
    <t>관련 조문</t>
  </si>
  <si>
    <t>결과</t>
  </si>
  <si>
    <t>§29의7 공제를 이미 받음</t>
  </si>
  <si>
    <t>§29의7 통합고용세액공제</t>
  </si>
  <si>
    <t>★ §29의8① 적용 불가</t>
  </si>
  <si>
    <t>§30의4 공제를 이미 받음</t>
  </si>
  <si>
    <t>§30의4 청년·핵심인력 성과보상기금</t>
  </si>
  <si>
    <t>위 두 공제 모두 받지 않음</t>
  </si>
  <si>
    <t>§29의7 + §30의4</t>
  </si>
  <si>
    <t>○ §29의8①(추가공제) 적용 가능</t>
  </si>
  <si>
    <t>제127조 실무 판단 체크리스트</t>
  </si>
  <si>
    <t>Step</t>
  </si>
  <si>
    <t>체크 내용</t>
  </si>
  <si>
    <t>판단기준</t>
  </si>
  <si>
    <t>Step 1</t>
  </si>
  <si>
    <t>정부지원금 수령 여부 확인</t>
  </si>
  <si>
    <t>국가·지자체·공공기관·지방공기업 출연금 → §127① 투자금액 차감 대상</t>
  </si>
  <si>
    <t>Step 2</t>
  </si>
  <si>
    <t>투자 관련 공제 3중 중복 확인</t>
  </si>
  <si>
    <t>§8의3③ + §24 + §26 중 복수 적용? → 택1 (§127②)</t>
  </si>
  <si>
    <t>Step 3</t>
  </si>
  <si>
    <t>고용 관련 공제 3쌍 확인</t>
  </si>
  <si>
    <t>§19①↔§29의4 / §26↔§29의5 / §26↔§30의4 → 각 쌍에서 택1</t>
  </si>
  <si>
    <t>Step 4</t>
  </si>
  <si>
    <t>외국인투자 감면 적용 시</t>
  </si>
  <si>
    <t>§121의2, §121의4 적용 시 내국인 지분비율 × 공제세액 (§127③)</t>
  </si>
  <si>
    <t>Step 5</t>
  </si>
  <si>
    <t>창업감면(§6) 적용 중 → 통합고용(§29의7·§29의8) 동시 불가</t>
  </si>
  <si>
    <t>★★★ 단서 명시 - 중특감면(§7)과 구분 필요</t>
  </si>
  <si>
    <t>Step 6</t>
  </si>
  <si>
    <t>중특감면(§7) + 청년성과보상(§30의4) 동시 적용 가능</t>
  </si>
  <si>
    <t>★ 단서 예외 - §127④ 단서에 '제7조와 동시에 적용되는 경우 제외' 명시</t>
  </si>
  <si>
    <t>Step 7</t>
  </si>
  <si>
    <t>동일 사업장에 감면 2개 이상 → 택1</t>
  </si>
  <si>
    <t>§6 vs §7, §7 vs §63①, §121의2 vs §121의4 등 (§127⑤)</t>
  </si>
  <si>
    <t>Step 8</t>
  </si>
  <si>
    <t>구분경리 여부 확인</t>
  </si>
  <si>
    <t>§143 구분경리 → 감면사업과 공제사업 분리 시 중복 아님 (§127⑩)</t>
  </si>
  <si>
    <t>Step 9</t>
  </si>
  <si>
    <t>통합고용 추가공제(§29의8①) 적용 요건</t>
  </si>
  <si>
    <t>§29의7, §30의4 공제를 '받지 아니한 경우'만 적용 (§127⑪)</t>
  </si>
  <si>
    <t>Step 10</t>
  </si>
  <si>
    <t>양도소득세 감면 중복</t>
  </si>
  <si>
    <t>토지 분할로 각각 다른 감면 적용 가능 (§127⑦ 단서)</t>
  </si>
  <si>
    <t>주의사항</t>
  </si>
  <si>
    <t>§10(R&amp;D)은 제4항 매트릭스에 없음</t>
  </si>
  <si>
    <t>R&amp;D 세액공제는 감면·공제와 독립적으로 적용 가능 (중복배제 없음)</t>
  </si>
  <si>
    <t>연도별 선택 변경 가능</t>
  </si>
  <si>
    <t>각 과세연도별로 유리한 감면/공제를 선택하여 신고 가능</t>
  </si>
  <si>
    <t>최저한세와의 관계</t>
  </si>
  <si>
    <t>§127 배제 후 잔여 감면에 §132 최저한세 적용</t>
  </si>
  <si>
    <t>이월공제와의 관계</t>
  </si>
  <si>
    <t>§127로 배제된 감면은 이월공제 불가 / 최저한세로 배제된 것은 §144 이월공제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</si>
</sst>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i/>
      <sz val="10"/>
      <color rgb="FFC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8"/>
      <color rgb="FFC00000"/>
      <name val="맑은 고딕"/>
      <family val="3"/>
      <charset val="129"/>
    </font>
    <font>
      <b/>
      <sz val="8"/>
      <color rgb="FF0061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color rgb="FF006100"/>
      <name val="맑은 고딕"/>
      <family val="3"/>
      <charset val="129"/>
    </font>
    <font>
      <i/>
      <sz val="9"/>
      <color rgb="FF0070C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61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C00000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5" borderId="0" xfId="0" applyFont="1" applyFill="1"/>
    <xf numFmtId="0" fontId="19" fillId="8" borderId="0" xfId="0" applyFont="1" applyFill="1"/>
    <xf numFmtId="0" fontId="12" fillId="7" borderId="0" xfId="0" applyFont="1" applyFill="1"/>
    <xf numFmtId="0" fontId="3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0" xfId="0" applyFont="1"/>
    <xf numFmtId="0" fontId="15" fillId="0" borderId="0" xfId="0" applyFont="1"/>
    <xf numFmtId="0" fontId="7" fillId="7" borderId="0" xfId="0" applyFont="1" applyFill="1" applyAlignment="1">
      <alignment horizontal="center" vertical="center"/>
    </xf>
    <xf numFmtId="0" fontId="20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opLeftCell="A7" workbookViewId="0">
      <selection sqref="A1:E1"/>
    </sheetView>
  </sheetViews>
  <sheetFormatPr defaultRowHeight="16.5" x14ac:dyDescent="0.3"/>
  <cols>
    <col min="1" max="1" width="10" customWidth="1"/>
    <col min="2" max="2" width="22" customWidth="1"/>
    <col min="3" max="4" width="30" customWidth="1"/>
    <col min="5" max="5" width="40" customWidth="1"/>
  </cols>
  <sheetData>
    <row r="1" spans="1:5" ht="27.95" customHeight="1" x14ac:dyDescent="0.3">
      <c r="A1" s="36" t="s">
        <v>0</v>
      </c>
      <c r="B1" s="35"/>
      <c r="C1" s="35"/>
      <c r="D1" s="35"/>
      <c r="E1" s="35"/>
    </row>
    <row r="2" spans="1:5" x14ac:dyDescent="0.3">
      <c r="A2" s="34" t="s">
        <v>1</v>
      </c>
      <c r="B2" s="35"/>
      <c r="C2" s="35"/>
      <c r="D2" s="35"/>
      <c r="E2" s="35"/>
    </row>
    <row r="4" spans="1:5" ht="27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75" customHeight="1" x14ac:dyDescent="0.3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5" ht="75" customHeight="1" x14ac:dyDescent="0.3">
      <c r="A6" s="2" t="s">
        <v>12</v>
      </c>
      <c r="B6" s="3" t="s">
        <v>13</v>
      </c>
      <c r="C6" s="3" t="s">
        <v>14</v>
      </c>
      <c r="D6" s="3" t="s">
        <v>15</v>
      </c>
      <c r="E6" s="3" t="s">
        <v>16</v>
      </c>
    </row>
    <row r="7" spans="1:5" ht="75" customHeight="1" x14ac:dyDescent="0.3">
      <c r="A7" s="2" t="s">
        <v>17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5" ht="75" customHeight="1" x14ac:dyDescent="0.3">
      <c r="A8" s="2" t="s">
        <v>22</v>
      </c>
      <c r="B8" s="4" t="s">
        <v>23</v>
      </c>
      <c r="C8" s="3" t="s">
        <v>24</v>
      </c>
      <c r="D8" s="3" t="s">
        <v>25</v>
      </c>
      <c r="E8" s="5" t="s">
        <v>26</v>
      </c>
    </row>
    <row r="9" spans="1:5" ht="75" customHeight="1" x14ac:dyDescent="0.3">
      <c r="A9" s="2" t="s">
        <v>27</v>
      </c>
      <c r="B9" s="3" t="s">
        <v>28</v>
      </c>
      <c r="C9" s="3" t="s">
        <v>29</v>
      </c>
      <c r="D9" s="3" t="s">
        <v>30</v>
      </c>
      <c r="E9" s="3" t="s">
        <v>31</v>
      </c>
    </row>
    <row r="10" spans="1:5" ht="75" customHeight="1" x14ac:dyDescent="0.3">
      <c r="A10" s="2" t="s">
        <v>32</v>
      </c>
      <c r="B10" s="3" t="s">
        <v>33</v>
      </c>
      <c r="C10" s="3" t="s">
        <v>34</v>
      </c>
      <c r="D10" s="3" t="s">
        <v>35</v>
      </c>
      <c r="E10" s="3" t="s">
        <v>36</v>
      </c>
    </row>
    <row r="11" spans="1:5" ht="75" customHeight="1" x14ac:dyDescent="0.3">
      <c r="A11" s="2" t="s">
        <v>37</v>
      </c>
      <c r="B11" s="3" t="s">
        <v>38</v>
      </c>
      <c r="C11" s="3" t="s">
        <v>39</v>
      </c>
      <c r="D11" s="3" t="s">
        <v>40</v>
      </c>
      <c r="E11" s="3" t="s">
        <v>41</v>
      </c>
    </row>
    <row r="12" spans="1:5" ht="75" customHeight="1" x14ac:dyDescent="0.3">
      <c r="A12" s="2" t="s">
        <v>42</v>
      </c>
      <c r="B12" s="3" t="s">
        <v>43</v>
      </c>
      <c r="C12" s="3" t="s">
        <v>44</v>
      </c>
      <c r="D12" s="3" t="s">
        <v>45</v>
      </c>
      <c r="E12" s="3" t="s">
        <v>36</v>
      </c>
    </row>
    <row r="13" spans="1:5" ht="75" customHeight="1" x14ac:dyDescent="0.3">
      <c r="A13" s="2" t="s">
        <v>46</v>
      </c>
      <c r="B13" s="3" t="s">
        <v>47</v>
      </c>
      <c r="C13" s="3" t="s">
        <v>48</v>
      </c>
      <c r="D13" s="3" t="s">
        <v>49</v>
      </c>
      <c r="E13" s="3" t="s">
        <v>36</v>
      </c>
    </row>
    <row r="14" spans="1:5" ht="75" customHeight="1" x14ac:dyDescent="0.3">
      <c r="A14" s="2" t="s">
        <v>50</v>
      </c>
      <c r="B14" s="3" t="s">
        <v>51</v>
      </c>
      <c r="C14" s="3" t="s">
        <v>52</v>
      </c>
      <c r="D14" s="3" t="s">
        <v>53</v>
      </c>
      <c r="E14" s="3" t="s">
        <v>54</v>
      </c>
    </row>
    <row r="15" spans="1:5" ht="75" customHeight="1" x14ac:dyDescent="0.3">
      <c r="A15" s="2" t="s">
        <v>55</v>
      </c>
      <c r="B15" s="3" t="s">
        <v>56</v>
      </c>
      <c r="C15" s="3" t="s">
        <v>57</v>
      </c>
      <c r="D15" s="3" t="s">
        <v>58</v>
      </c>
      <c r="E15" s="3" t="s">
        <v>59</v>
      </c>
    </row>
  </sheetData>
  <mergeCells count="2">
    <mergeCell ref="A2:E2"/>
    <mergeCell ref="A1:E1"/>
  </mergeCells>
  <phoneticPr fontId="2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sqref="A1:E1"/>
    </sheetView>
  </sheetViews>
  <sheetFormatPr defaultRowHeight="16.5" x14ac:dyDescent="0.3"/>
  <cols>
    <col min="1" max="1" width="12" customWidth="1"/>
    <col min="2" max="2" width="25" customWidth="1"/>
    <col min="3" max="4" width="30" customWidth="1"/>
    <col min="5" max="5" width="18" customWidth="1"/>
  </cols>
  <sheetData>
    <row r="1" spans="1:5" ht="27.95" customHeight="1" x14ac:dyDescent="0.3">
      <c r="A1" s="43" t="s">
        <v>60</v>
      </c>
      <c r="B1" s="35"/>
      <c r="C1" s="35"/>
      <c r="D1" s="35"/>
      <c r="E1" s="35"/>
    </row>
    <row r="3" spans="1:5" x14ac:dyDescent="0.3">
      <c r="A3" s="42" t="s">
        <v>61</v>
      </c>
      <c r="B3" s="35"/>
      <c r="C3" s="35"/>
      <c r="D3" s="35"/>
      <c r="E3" s="35"/>
    </row>
    <row r="4" spans="1:5" x14ac:dyDescent="0.3">
      <c r="A4" s="6" t="s">
        <v>62</v>
      </c>
      <c r="B4" s="39" t="s">
        <v>63</v>
      </c>
      <c r="C4" s="40"/>
      <c r="D4" s="40"/>
      <c r="E4" s="41"/>
    </row>
    <row r="5" spans="1:5" x14ac:dyDescent="0.3">
      <c r="A5" s="7" t="s">
        <v>64</v>
      </c>
      <c r="B5" s="37" t="s">
        <v>65</v>
      </c>
      <c r="C5" s="38"/>
      <c r="D5" s="38"/>
      <c r="E5" s="38"/>
    </row>
    <row r="6" spans="1:5" x14ac:dyDescent="0.3">
      <c r="A6" s="7" t="s">
        <v>66</v>
      </c>
      <c r="B6" s="37" t="s">
        <v>67</v>
      </c>
      <c r="C6" s="38"/>
      <c r="D6" s="38"/>
      <c r="E6" s="38"/>
    </row>
    <row r="7" spans="1:5" x14ac:dyDescent="0.3">
      <c r="A7" s="7" t="s">
        <v>68</v>
      </c>
      <c r="B7" s="37" t="s">
        <v>69</v>
      </c>
      <c r="C7" s="38"/>
      <c r="D7" s="38"/>
      <c r="E7" s="38"/>
    </row>
    <row r="8" spans="1:5" ht="27" x14ac:dyDescent="0.3">
      <c r="A8" s="7" t="s">
        <v>70</v>
      </c>
      <c r="B8" s="37" t="s">
        <v>71</v>
      </c>
      <c r="C8" s="38"/>
      <c r="D8" s="38"/>
      <c r="E8" s="38"/>
    </row>
    <row r="10" spans="1:5" x14ac:dyDescent="0.3">
      <c r="A10" s="42" t="s">
        <v>72</v>
      </c>
      <c r="B10" s="35"/>
      <c r="C10" s="35"/>
      <c r="D10" s="35"/>
      <c r="E10" s="35"/>
    </row>
    <row r="11" spans="1:5" ht="26.1" customHeight="1" x14ac:dyDescent="0.3">
      <c r="A11" s="6" t="s">
        <v>73</v>
      </c>
      <c r="B11" s="6" t="s">
        <v>74</v>
      </c>
      <c r="C11" s="6" t="s">
        <v>75</v>
      </c>
      <c r="D11" s="6" t="s">
        <v>76</v>
      </c>
      <c r="E11" s="6" t="s">
        <v>77</v>
      </c>
    </row>
    <row r="12" spans="1:5" ht="54.95" customHeight="1" x14ac:dyDescent="0.3">
      <c r="A12" s="2" t="s">
        <v>78</v>
      </c>
      <c r="B12" s="3" t="s">
        <v>79</v>
      </c>
      <c r="C12" s="3" t="s">
        <v>80</v>
      </c>
      <c r="D12" s="3" t="s">
        <v>81</v>
      </c>
      <c r="E12" s="3" t="s">
        <v>82</v>
      </c>
    </row>
    <row r="13" spans="1:5" ht="54.95" customHeight="1" x14ac:dyDescent="0.3">
      <c r="A13" s="2" t="s">
        <v>83</v>
      </c>
      <c r="B13" s="3" t="s">
        <v>84</v>
      </c>
      <c r="C13" s="3" t="s">
        <v>85</v>
      </c>
      <c r="D13" s="3" t="s">
        <v>86</v>
      </c>
      <c r="E13" s="3" t="s">
        <v>87</v>
      </c>
    </row>
    <row r="14" spans="1:5" ht="54.95" customHeight="1" x14ac:dyDescent="0.3">
      <c r="A14" s="2" t="s">
        <v>88</v>
      </c>
      <c r="B14" s="3" t="s">
        <v>89</v>
      </c>
      <c r="C14" s="3" t="s">
        <v>90</v>
      </c>
      <c r="D14" s="3" t="s">
        <v>91</v>
      </c>
      <c r="E14" s="3" t="s">
        <v>92</v>
      </c>
    </row>
    <row r="15" spans="1:5" ht="54.95" customHeight="1" x14ac:dyDescent="0.3">
      <c r="A15" s="2" t="s">
        <v>93</v>
      </c>
      <c r="B15" s="3" t="s">
        <v>94</v>
      </c>
      <c r="C15" s="3" t="s">
        <v>95</v>
      </c>
      <c r="D15" s="3" t="s">
        <v>96</v>
      </c>
      <c r="E15" s="3" t="s">
        <v>97</v>
      </c>
    </row>
    <row r="17" spans="1:5" x14ac:dyDescent="0.3">
      <c r="A17" s="42" t="s">
        <v>98</v>
      </c>
      <c r="B17" s="35"/>
      <c r="C17" s="35"/>
      <c r="D17" s="35"/>
      <c r="E17" s="35"/>
    </row>
    <row r="18" spans="1:5" ht="27.95" customHeight="1" x14ac:dyDescent="0.3">
      <c r="A18" s="44" t="s">
        <v>99</v>
      </c>
      <c r="B18" s="35"/>
      <c r="C18" s="35"/>
      <c r="D18" s="35"/>
      <c r="E18" s="35"/>
    </row>
  </sheetData>
  <mergeCells count="10">
    <mergeCell ref="A1:E1"/>
    <mergeCell ref="B5:E5"/>
    <mergeCell ref="A17:E17"/>
    <mergeCell ref="A18:E18"/>
    <mergeCell ref="A3:E3"/>
    <mergeCell ref="B8:E8"/>
    <mergeCell ref="B4:E4"/>
    <mergeCell ref="A10:E10"/>
    <mergeCell ref="B6:E6"/>
    <mergeCell ref="B7:E7"/>
  </mergeCells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sqref="A1:D1"/>
    </sheetView>
  </sheetViews>
  <sheetFormatPr defaultRowHeight="16.5" x14ac:dyDescent="0.3"/>
  <cols>
    <col min="1" max="1" width="18" customWidth="1"/>
    <col min="2" max="2" width="16" customWidth="1"/>
    <col min="3" max="3" width="42" customWidth="1"/>
    <col min="4" max="4" width="28" customWidth="1"/>
  </cols>
  <sheetData>
    <row r="1" spans="1:4" ht="27.95" customHeight="1" x14ac:dyDescent="0.3">
      <c r="A1" s="43" t="s">
        <v>100</v>
      </c>
      <c r="B1" s="35"/>
      <c r="C1" s="35"/>
      <c r="D1" s="35"/>
    </row>
    <row r="3" spans="1:4" x14ac:dyDescent="0.3">
      <c r="A3" s="42" t="s">
        <v>101</v>
      </c>
      <c r="B3" s="35"/>
      <c r="C3" s="35"/>
      <c r="D3" s="35"/>
    </row>
    <row r="4" spans="1:4" x14ac:dyDescent="0.3">
      <c r="A4" s="6" t="s">
        <v>102</v>
      </c>
      <c r="B4" s="6" t="s">
        <v>62</v>
      </c>
      <c r="C4" s="6" t="s">
        <v>63</v>
      </c>
      <c r="D4" s="6" t="s">
        <v>103</v>
      </c>
    </row>
    <row r="5" spans="1:4" x14ac:dyDescent="0.3">
      <c r="A5" s="45" t="s">
        <v>104</v>
      </c>
      <c r="B5" s="10" t="s">
        <v>64</v>
      </c>
      <c r="C5" s="8" t="s">
        <v>105</v>
      </c>
      <c r="D5" s="8" t="s">
        <v>106</v>
      </c>
    </row>
    <row r="6" spans="1:4" x14ac:dyDescent="0.3">
      <c r="A6" s="35"/>
      <c r="B6" s="10" t="s">
        <v>66</v>
      </c>
      <c r="C6" s="8" t="s">
        <v>107</v>
      </c>
      <c r="D6" s="8" t="s">
        <v>108</v>
      </c>
    </row>
    <row r="7" spans="1:4" x14ac:dyDescent="0.3">
      <c r="A7" s="35"/>
      <c r="B7" s="10" t="s">
        <v>68</v>
      </c>
      <c r="C7" s="8" t="s">
        <v>69</v>
      </c>
      <c r="D7" s="8" t="s">
        <v>109</v>
      </c>
    </row>
    <row r="9" spans="1:4" x14ac:dyDescent="0.3">
      <c r="A9" s="42" t="s">
        <v>110</v>
      </c>
      <c r="B9" s="35"/>
      <c r="C9" s="35"/>
      <c r="D9" s="35"/>
    </row>
    <row r="10" spans="1:4" x14ac:dyDescent="0.3">
      <c r="A10" s="6" t="s">
        <v>102</v>
      </c>
      <c r="B10" s="6" t="s">
        <v>62</v>
      </c>
      <c r="C10" s="6" t="s">
        <v>63</v>
      </c>
      <c r="D10" s="6" t="s">
        <v>103</v>
      </c>
    </row>
    <row r="11" spans="1:4" x14ac:dyDescent="0.3">
      <c r="A11" s="9" t="s">
        <v>111</v>
      </c>
      <c r="B11" s="10" t="s">
        <v>112</v>
      </c>
      <c r="C11" s="8" t="s">
        <v>113</v>
      </c>
      <c r="D11" s="11" t="s">
        <v>114</v>
      </c>
    </row>
    <row r="12" spans="1:4" x14ac:dyDescent="0.3">
      <c r="A12" s="9" t="s">
        <v>111</v>
      </c>
      <c r="B12" s="10" t="s">
        <v>115</v>
      </c>
      <c r="C12" s="8" t="s">
        <v>116</v>
      </c>
      <c r="D12" s="11"/>
    </row>
    <row r="13" spans="1:4" x14ac:dyDescent="0.3">
      <c r="A13" s="9" t="s">
        <v>117</v>
      </c>
      <c r="B13" s="10" t="s">
        <v>68</v>
      </c>
      <c r="C13" s="8" t="s">
        <v>69</v>
      </c>
      <c r="D13" s="11" t="s">
        <v>118</v>
      </c>
    </row>
    <row r="14" spans="1:4" x14ac:dyDescent="0.3">
      <c r="A14" s="9" t="s">
        <v>117</v>
      </c>
      <c r="B14" s="10" t="s">
        <v>119</v>
      </c>
      <c r="C14" s="8" t="s">
        <v>120</v>
      </c>
      <c r="D14" s="11"/>
    </row>
    <row r="15" spans="1:4" x14ac:dyDescent="0.3">
      <c r="A15" s="9" t="s">
        <v>121</v>
      </c>
      <c r="B15" s="10" t="s">
        <v>68</v>
      </c>
      <c r="C15" s="8" t="s">
        <v>69</v>
      </c>
      <c r="D15" s="11" t="s">
        <v>122</v>
      </c>
    </row>
    <row r="16" spans="1:4" x14ac:dyDescent="0.3">
      <c r="A16" s="9" t="s">
        <v>121</v>
      </c>
      <c r="B16" s="10" t="s">
        <v>123</v>
      </c>
      <c r="C16" s="8" t="s">
        <v>124</v>
      </c>
      <c r="D16" s="11"/>
    </row>
  </sheetData>
  <mergeCells count="4">
    <mergeCell ref="A1:D1"/>
    <mergeCell ref="A9:D9"/>
    <mergeCell ref="A5:A7"/>
    <mergeCell ref="A3:D3"/>
  </mergeCells>
  <phoneticPr fontId="2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pane xSplit="2" ySplit="4" topLeftCell="C5" activePane="bottomRight" state="frozen"/>
      <selection pane="topRight"/>
      <selection pane="bottomLeft"/>
      <selection pane="bottomRight" activeCell="A6" sqref="A6"/>
    </sheetView>
  </sheetViews>
  <sheetFormatPr defaultRowHeight="16.5" x14ac:dyDescent="0.3"/>
  <cols>
    <col min="1" max="1" width="10" customWidth="1"/>
    <col min="2" max="2" width="24" customWidth="1"/>
    <col min="3" max="18" width="10" customWidth="1"/>
  </cols>
  <sheetData>
    <row r="1" spans="1:18" ht="27.95" customHeight="1" x14ac:dyDescent="0.3">
      <c r="A1" s="50" t="s">
        <v>125</v>
      </c>
      <c r="B1" s="35"/>
      <c r="C1" s="35"/>
      <c r="D1" s="35"/>
      <c r="E1" s="35"/>
      <c r="F1" s="35"/>
      <c r="G1" s="35"/>
      <c r="H1" s="35"/>
    </row>
    <row r="2" spans="1:18" x14ac:dyDescent="0.3">
      <c r="A2" s="47" t="s">
        <v>126</v>
      </c>
      <c r="B2" s="35"/>
      <c r="C2" s="35"/>
      <c r="D2" s="35"/>
      <c r="E2" s="35"/>
      <c r="F2" s="35"/>
      <c r="G2" s="35"/>
      <c r="H2" s="35"/>
    </row>
    <row r="4" spans="1:18" ht="45" customHeight="1" x14ac:dyDescent="0.3">
      <c r="A4" s="46" t="s">
        <v>127</v>
      </c>
      <c r="B4" s="41"/>
      <c r="C4" s="12" t="s">
        <v>128</v>
      </c>
      <c r="D4" s="12" t="s">
        <v>129</v>
      </c>
      <c r="E4" s="12" t="s">
        <v>130</v>
      </c>
      <c r="F4" s="12" t="s">
        <v>131</v>
      </c>
      <c r="G4" s="12" t="s">
        <v>132</v>
      </c>
      <c r="H4" s="12" t="s">
        <v>133</v>
      </c>
      <c r="I4" s="12" t="s">
        <v>134</v>
      </c>
      <c r="J4" s="12" t="s">
        <v>135</v>
      </c>
      <c r="K4" s="12" t="s">
        <v>136</v>
      </c>
      <c r="L4" s="12" t="s">
        <v>137</v>
      </c>
      <c r="M4" s="12" t="s">
        <v>138</v>
      </c>
      <c r="N4" s="12" t="s">
        <v>139</v>
      </c>
      <c r="O4" s="12" t="s">
        <v>140</v>
      </c>
      <c r="P4" s="12" t="s">
        <v>141</v>
      </c>
      <c r="Q4" s="12" t="s">
        <v>142</v>
      </c>
      <c r="R4" s="12" t="s">
        <v>143</v>
      </c>
    </row>
    <row r="5" spans="1:18" ht="32.1" customHeight="1" x14ac:dyDescent="0.3">
      <c r="A5" s="13" t="s">
        <v>144</v>
      </c>
      <c r="B5" s="14" t="s">
        <v>145</v>
      </c>
      <c r="C5" s="15" t="s">
        <v>146</v>
      </c>
      <c r="D5" s="15" t="s">
        <v>146</v>
      </c>
      <c r="E5" s="15" t="s">
        <v>146</v>
      </c>
      <c r="F5" s="15" t="s">
        <v>146</v>
      </c>
      <c r="G5" s="15" t="s">
        <v>146</v>
      </c>
      <c r="H5" s="15" t="s">
        <v>146</v>
      </c>
      <c r="I5" s="16" t="s">
        <v>147</v>
      </c>
      <c r="J5" s="16" t="s">
        <v>147</v>
      </c>
      <c r="K5" s="15" t="s">
        <v>146</v>
      </c>
      <c r="L5" s="15" t="s">
        <v>146</v>
      </c>
      <c r="M5" s="15" t="s">
        <v>146</v>
      </c>
      <c r="N5" s="15" t="s">
        <v>146</v>
      </c>
      <c r="O5" s="15" t="s">
        <v>146</v>
      </c>
      <c r="P5" s="15" t="s">
        <v>146</v>
      </c>
      <c r="Q5" s="15" t="s">
        <v>146</v>
      </c>
      <c r="R5" s="15" t="s">
        <v>146</v>
      </c>
    </row>
    <row r="6" spans="1:18" ht="32.1" customHeight="1" x14ac:dyDescent="0.3">
      <c r="A6" s="13" t="s">
        <v>148</v>
      </c>
      <c r="B6" s="14" t="s">
        <v>149</v>
      </c>
      <c r="C6" s="15" t="s">
        <v>146</v>
      </c>
      <c r="D6" s="15" t="s">
        <v>146</v>
      </c>
      <c r="E6" s="15" t="s">
        <v>146</v>
      </c>
      <c r="F6" s="15" t="s">
        <v>146</v>
      </c>
      <c r="G6" s="15" t="s">
        <v>146</v>
      </c>
      <c r="H6" s="15" t="s">
        <v>146</v>
      </c>
      <c r="I6" s="15" t="s">
        <v>146</v>
      </c>
      <c r="J6" s="15" t="s">
        <v>146</v>
      </c>
      <c r="K6" s="17" t="s">
        <v>150</v>
      </c>
      <c r="L6" s="15" t="s">
        <v>146</v>
      </c>
      <c r="M6" s="15" t="s">
        <v>146</v>
      </c>
      <c r="N6" s="15" t="s">
        <v>146</v>
      </c>
      <c r="O6" s="15" t="s">
        <v>146</v>
      </c>
      <c r="P6" s="15" t="s">
        <v>146</v>
      </c>
      <c r="Q6" s="15" t="s">
        <v>146</v>
      </c>
      <c r="R6" s="15" t="s">
        <v>146</v>
      </c>
    </row>
    <row r="7" spans="1:18" ht="32.1" customHeight="1" x14ac:dyDescent="0.3">
      <c r="A7" s="13" t="s">
        <v>151</v>
      </c>
      <c r="B7" s="14" t="s">
        <v>152</v>
      </c>
      <c r="C7" s="15" t="s">
        <v>146</v>
      </c>
      <c r="D7" s="15" t="s">
        <v>146</v>
      </c>
      <c r="E7" s="15" t="s">
        <v>146</v>
      </c>
      <c r="F7" s="15" t="s">
        <v>146</v>
      </c>
      <c r="G7" s="15" t="s">
        <v>146</v>
      </c>
      <c r="H7" s="15" t="s">
        <v>146</v>
      </c>
      <c r="I7" s="15" t="s">
        <v>146</v>
      </c>
      <c r="J7" s="15" t="s">
        <v>146</v>
      </c>
      <c r="K7" s="15" t="s">
        <v>146</v>
      </c>
      <c r="L7" s="15" t="s">
        <v>146</v>
      </c>
      <c r="M7" s="15" t="s">
        <v>146</v>
      </c>
      <c r="N7" s="15" t="s">
        <v>146</v>
      </c>
      <c r="O7" s="15" t="s">
        <v>146</v>
      </c>
      <c r="P7" s="15" t="s">
        <v>146</v>
      </c>
      <c r="Q7" s="15" t="s">
        <v>146</v>
      </c>
      <c r="R7" s="15" t="s">
        <v>146</v>
      </c>
    </row>
    <row r="8" spans="1:18" ht="32.1" customHeight="1" x14ac:dyDescent="0.3">
      <c r="A8" s="13" t="s">
        <v>153</v>
      </c>
      <c r="B8" s="14" t="s">
        <v>154</v>
      </c>
      <c r="C8" s="15" t="s">
        <v>146</v>
      </c>
      <c r="D8" s="15" t="s">
        <v>146</v>
      </c>
      <c r="E8" s="15" t="s">
        <v>146</v>
      </c>
      <c r="F8" s="15" t="s">
        <v>146</v>
      </c>
      <c r="G8" s="15" t="s">
        <v>146</v>
      </c>
      <c r="H8" s="15" t="s">
        <v>146</v>
      </c>
      <c r="I8" s="15" t="s">
        <v>146</v>
      </c>
      <c r="J8" s="15" t="s">
        <v>146</v>
      </c>
      <c r="K8" s="15" t="s">
        <v>146</v>
      </c>
      <c r="L8" s="15" t="s">
        <v>146</v>
      </c>
      <c r="M8" s="15" t="s">
        <v>146</v>
      </c>
      <c r="N8" s="15" t="s">
        <v>146</v>
      </c>
      <c r="O8" s="15" t="s">
        <v>146</v>
      </c>
      <c r="P8" s="15" t="s">
        <v>146</v>
      </c>
      <c r="Q8" s="15" t="s">
        <v>146</v>
      </c>
      <c r="R8" s="15" t="s">
        <v>146</v>
      </c>
    </row>
    <row r="9" spans="1:18" ht="32.1" customHeight="1" x14ac:dyDescent="0.3">
      <c r="A9" s="13" t="s">
        <v>155</v>
      </c>
      <c r="B9" s="14" t="s">
        <v>156</v>
      </c>
      <c r="C9" s="15" t="s">
        <v>146</v>
      </c>
      <c r="D9" s="15" t="s">
        <v>146</v>
      </c>
      <c r="E9" s="15" t="s">
        <v>146</v>
      </c>
      <c r="F9" s="15" t="s">
        <v>146</v>
      </c>
      <c r="G9" s="15" t="s">
        <v>146</v>
      </c>
      <c r="H9" s="15" t="s">
        <v>146</v>
      </c>
      <c r="I9" s="15" t="s">
        <v>146</v>
      </c>
      <c r="J9" s="15" t="s">
        <v>146</v>
      </c>
      <c r="K9" s="15" t="s">
        <v>146</v>
      </c>
      <c r="L9" s="15" t="s">
        <v>146</v>
      </c>
      <c r="M9" s="15" t="s">
        <v>146</v>
      </c>
      <c r="N9" s="15" t="s">
        <v>146</v>
      </c>
      <c r="O9" s="15" t="s">
        <v>146</v>
      </c>
      <c r="P9" s="15" t="s">
        <v>146</v>
      </c>
      <c r="Q9" s="15" t="s">
        <v>146</v>
      </c>
      <c r="R9" s="15" t="s">
        <v>146</v>
      </c>
    </row>
    <row r="10" spans="1:18" ht="32.1" customHeight="1" x14ac:dyDescent="0.3">
      <c r="A10" s="13" t="s">
        <v>157</v>
      </c>
      <c r="B10" s="14" t="s">
        <v>158</v>
      </c>
      <c r="C10" s="15" t="s">
        <v>146</v>
      </c>
      <c r="D10" s="15" t="s">
        <v>146</v>
      </c>
      <c r="E10" s="15" t="s">
        <v>146</v>
      </c>
      <c r="F10" s="15" t="s">
        <v>146</v>
      </c>
      <c r="G10" s="15" t="s">
        <v>146</v>
      </c>
      <c r="H10" s="15" t="s">
        <v>146</v>
      </c>
      <c r="I10" s="15" t="s">
        <v>146</v>
      </c>
      <c r="J10" s="15" t="s">
        <v>146</v>
      </c>
      <c r="K10" s="15" t="s">
        <v>146</v>
      </c>
      <c r="L10" s="15" t="s">
        <v>146</v>
      </c>
      <c r="M10" s="15" t="s">
        <v>146</v>
      </c>
      <c r="N10" s="15" t="s">
        <v>146</v>
      </c>
      <c r="O10" s="15" t="s">
        <v>146</v>
      </c>
      <c r="P10" s="15" t="s">
        <v>146</v>
      </c>
      <c r="Q10" s="15" t="s">
        <v>146</v>
      </c>
      <c r="R10" s="15" t="s">
        <v>146</v>
      </c>
    </row>
    <row r="11" spans="1:18" ht="32.1" customHeight="1" x14ac:dyDescent="0.3">
      <c r="A11" s="13" t="s">
        <v>159</v>
      </c>
      <c r="B11" s="14" t="s">
        <v>160</v>
      </c>
      <c r="C11" s="15" t="s">
        <v>146</v>
      </c>
      <c r="D11" s="15" t="s">
        <v>146</v>
      </c>
      <c r="E11" s="15" t="s">
        <v>146</v>
      </c>
      <c r="F11" s="15" t="s">
        <v>146</v>
      </c>
      <c r="G11" s="15" t="s">
        <v>146</v>
      </c>
      <c r="H11" s="15" t="s">
        <v>146</v>
      </c>
      <c r="I11" s="15" t="s">
        <v>146</v>
      </c>
      <c r="J11" s="15" t="s">
        <v>146</v>
      </c>
      <c r="K11" s="15" t="s">
        <v>146</v>
      </c>
      <c r="L11" s="15" t="s">
        <v>146</v>
      </c>
      <c r="M11" s="15" t="s">
        <v>146</v>
      </c>
      <c r="N11" s="15" t="s">
        <v>146</v>
      </c>
      <c r="O11" s="15" t="s">
        <v>146</v>
      </c>
      <c r="P11" s="15" t="s">
        <v>146</v>
      </c>
      <c r="Q11" s="15" t="s">
        <v>146</v>
      </c>
      <c r="R11" s="15" t="s">
        <v>146</v>
      </c>
    </row>
    <row r="12" spans="1:18" ht="32.1" customHeight="1" x14ac:dyDescent="0.3">
      <c r="A12" s="13" t="s">
        <v>161</v>
      </c>
      <c r="B12" s="14" t="s">
        <v>162</v>
      </c>
      <c r="C12" s="15" t="s">
        <v>146</v>
      </c>
      <c r="D12" s="15" t="s">
        <v>146</v>
      </c>
      <c r="E12" s="15" t="s">
        <v>146</v>
      </c>
      <c r="F12" s="15" t="s">
        <v>146</v>
      </c>
      <c r="G12" s="15" t="s">
        <v>146</v>
      </c>
      <c r="H12" s="15" t="s">
        <v>146</v>
      </c>
      <c r="I12" s="15" t="s">
        <v>146</v>
      </c>
      <c r="J12" s="15" t="s">
        <v>146</v>
      </c>
      <c r="K12" s="15" t="s">
        <v>146</v>
      </c>
      <c r="L12" s="15" t="s">
        <v>146</v>
      </c>
      <c r="M12" s="15" t="s">
        <v>146</v>
      </c>
      <c r="N12" s="15" t="s">
        <v>146</v>
      </c>
      <c r="O12" s="15" t="s">
        <v>146</v>
      </c>
      <c r="P12" s="15" t="s">
        <v>146</v>
      </c>
      <c r="Q12" s="15" t="s">
        <v>146</v>
      </c>
      <c r="R12" s="15" t="s">
        <v>146</v>
      </c>
    </row>
    <row r="13" spans="1:18" ht="32.1" customHeight="1" x14ac:dyDescent="0.3">
      <c r="A13" s="13" t="s">
        <v>163</v>
      </c>
      <c r="B13" s="14" t="s">
        <v>164</v>
      </c>
      <c r="C13" s="15" t="s">
        <v>146</v>
      </c>
      <c r="D13" s="15" t="s">
        <v>146</v>
      </c>
      <c r="E13" s="15" t="s">
        <v>146</v>
      </c>
      <c r="F13" s="15" t="s">
        <v>146</v>
      </c>
      <c r="G13" s="15" t="s">
        <v>146</v>
      </c>
      <c r="H13" s="15" t="s">
        <v>146</v>
      </c>
      <c r="I13" s="15" t="s">
        <v>146</v>
      </c>
      <c r="J13" s="15" t="s">
        <v>146</v>
      </c>
      <c r="K13" s="15" t="s">
        <v>146</v>
      </c>
      <c r="L13" s="15" t="s">
        <v>146</v>
      </c>
      <c r="M13" s="15" t="s">
        <v>146</v>
      </c>
      <c r="N13" s="15" t="s">
        <v>146</v>
      </c>
      <c r="O13" s="15" t="s">
        <v>146</v>
      </c>
      <c r="P13" s="15" t="s">
        <v>146</v>
      </c>
      <c r="Q13" s="15" t="s">
        <v>146</v>
      </c>
      <c r="R13" s="15" t="s">
        <v>146</v>
      </c>
    </row>
    <row r="14" spans="1:18" ht="32.1" customHeight="1" x14ac:dyDescent="0.3">
      <c r="A14" s="13" t="s">
        <v>165</v>
      </c>
      <c r="B14" s="14" t="s">
        <v>166</v>
      </c>
      <c r="C14" s="15" t="s">
        <v>146</v>
      </c>
      <c r="D14" s="15" t="s">
        <v>146</v>
      </c>
      <c r="E14" s="15" t="s">
        <v>146</v>
      </c>
      <c r="F14" s="15" t="s">
        <v>146</v>
      </c>
      <c r="G14" s="15" t="s">
        <v>146</v>
      </c>
      <c r="H14" s="15" t="s">
        <v>146</v>
      </c>
      <c r="I14" s="15" t="s">
        <v>146</v>
      </c>
      <c r="J14" s="15" t="s">
        <v>146</v>
      </c>
      <c r="K14" s="15" t="s">
        <v>146</v>
      </c>
      <c r="L14" s="15" t="s">
        <v>146</v>
      </c>
      <c r="M14" s="15" t="s">
        <v>146</v>
      </c>
      <c r="N14" s="15" t="s">
        <v>146</v>
      </c>
      <c r="O14" s="15" t="s">
        <v>146</v>
      </c>
      <c r="P14" s="15" t="s">
        <v>146</v>
      </c>
      <c r="Q14" s="15" t="s">
        <v>146</v>
      </c>
      <c r="R14" s="15" t="s">
        <v>146</v>
      </c>
    </row>
    <row r="15" spans="1:18" ht="32.1" customHeight="1" x14ac:dyDescent="0.3">
      <c r="A15" s="13" t="s">
        <v>167</v>
      </c>
      <c r="B15" s="14" t="s">
        <v>168</v>
      </c>
      <c r="C15" s="15" t="s">
        <v>146</v>
      </c>
      <c r="D15" s="15" t="s">
        <v>146</v>
      </c>
      <c r="E15" s="15" t="s">
        <v>146</v>
      </c>
      <c r="F15" s="15" t="s">
        <v>146</v>
      </c>
      <c r="G15" s="15" t="s">
        <v>146</v>
      </c>
      <c r="H15" s="15" t="s">
        <v>146</v>
      </c>
      <c r="I15" s="15" t="s">
        <v>146</v>
      </c>
      <c r="J15" s="15" t="s">
        <v>146</v>
      </c>
      <c r="K15" s="15" t="s">
        <v>146</v>
      </c>
      <c r="L15" s="15" t="s">
        <v>146</v>
      </c>
      <c r="M15" s="15" t="s">
        <v>146</v>
      </c>
      <c r="N15" s="15" t="s">
        <v>146</v>
      </c>
      <c r="O15" s="15" t="s">
        <v>146</v>
      </c>
      <c r="P15" s="15" t="s">
        <v>146</v>
      </c>
      <c r="Q15" s="15" t="s">
        <v>146</v>
      </c>
      <c r="R15" s="15" t="s">
        <v>146</v>
      </c>
    </row>
    <row r="16" spans="1:18" ht="32.1" customHeight="1" x14ac:dyDescent="0.3">
      <c r="A16" s="13" t="s">
        <v>169</v>
      </c>
      <c r="B16" s="14" t="s">
        <v>170</v>
      </c>
      <c r="C16" s="15" t="s">
        <v>146</v>
      </c>
      <c r="D16" s="15" t="s">
        <v>146</v>
      </c>
      <c r="E16" s="15" t="s">
        <v>146</v>
      </c>
      <c r="F16" s="15" t="s">
        <v>146</v>
      </c>
      <c r="G16" s="15" t="s">
        <v>146</v>
      </c>
      <c r="H16" s="15" t="s">
        <v>146</v>
      </c>
      <c r="I16" s="15" t="s">
        <v>146</v>
      </c>
      <c r="J16" s="15" t="s">
        <v>146</v>
      </c>
      <c r="K16" s="15" t="s">
        <v>146</v>
      </c>
      <c r="L16" s="15" t="s">
        <v>146</v>
      </c>
      <c r="M16" s="15" t="s">
        <v>146</v>
      </c>
      <c r="N16" s="15" t="s">
        <v>146</v>
      </c>
      <c r="O16" s="15" t="s">
        <v>146</v>
      </c>
      <c r="P16" s="15" t="s">
        <v>146</v>
      </c>
      <c r="Q16" s="15" t="s">
        <v>146</v>
      </c>
      <c r="R16" s="15" t="s">
        <v>146</v>
      </c>
    </row>
    <row r="17" spans="1:18" ht="32.1" customHeight="1" x14ac:dyDescent="0.3">
      <c r="A17" s="13" t="s">
        <v>171</v>
      </c>
      <c r="B17" s="14" t="s">
        <v>172</v>
      </c>
      <c r="C17" s="15" t="s">
        <v>146</v>
      </c>
      <c r="D17" s="15" t="s">
        <v>146</v>
      </c>
      <c r="E17" s="15" t="s">
        <v>146</v>
      </c>
      <c r="F17" s="15" t="s">
        <v>146</v>
      </c>
      <c r="G17" s="15" t="s">
        <v>146</v>
      </c>
      <c r="H17" s="15" t="s">
        <v>146</v>
      </c>
      <c r="I17" s="15" t="s">
        <v>146</v>
      </c>
      <c r="J17" s="15" t="s">
        <v>146</v>
      </c>
      <c r="K17" s="15" t="s">
        <v>146</v>
      </c>
      <c r="L17" s="15" t="s">
        <v>146</v>
      </c>
      <c r="M17" s="15" t="s">
        <v>146</v>
      </c>
      <c r="N17" s="15" t="s">
        <v>146</v>
      </c>
      <c r="O17" s="15" t="s">
        <v>146</v>
      </c>
      <c r="P17" s="15" t="s">
        <v>146</v>
      </c>
      <c r="Q17" s="15" t="s">
        <v>146</v>
      </c>
      <c r="R17" s="15" t="s">
        <v>146</v>
      </c>
    </row>
    <row r="18" spans="1:18" ht="32.1" customHeight="1" x14ac:dyDescent="0.3">
      <c r="A18" s="13" t="s">
        <v>173</v>
      </c>
      <c r="B18" s="14" t="s">
        <v>174</v>
      </c>
      <c r="C18" s="15" t="s">
        <v>146</v>
      </c>
      <c r="D18" s="15" t="s">
        <v>146</v>
      </c>
      <c r="E18" s="15" t="s">
        <v>146</v>
      </c>
      <c r="F18" s="15" t="s">
        <v>146</v>
      </c>
      <c r="G18" s="15" t="s">
        <v>146</v>
      </c>
      <c r="H18" s="15" t="s">
        <v>146</v>
      </c>
      <c r="I18" s="15" t="s">
        <v>146</v>
      </c>
      <c r="J18" s="15" t="s">
        <v>146</v>
      </c>
      <c r="K18" s="15" t="s">
        <v>146</v>
      </c>
      <c r="L18" s="15" t="s">
        <v>146</v>
      </c>
      <c r="M18" s="15" t="s">
        <v>146</v>
      </c>
      <c r="N18" s="15" t="s">
        <v>146</v>
      </c>
      <c r="O18" s="15" t="s">
        <v>146</v>
      </c>
      <c r="P18" s="15" t="s">
        <v>146</v>
      </c>
      <c r="Q18" s="15" t="s">
        <v>146</v>
      </c>
      <c r="R18" s="15" t="s">
        <v>146</v>
      </c>
    </row>
    <row r="19" spans="1:18" ht="32.1" customHeight="1" x14ac:dyDescent="0.3">
      <c r="A19" s="13" t="s">
        <v>175</v>
      </c>
      <c r="B19" s="14" t="s">
        <v>170</v>
      </c>
      <c r="C19" s="15" t="s">
        <v>146</v>
      </c>
      <c r="D19" s="15" t="s">
        <v>146</v>
      </c>
      <c r="E19" s="15" t="s">
        <v>146</v>
      </c>
      <c r="F19" s="15" t="s">
        <v>146</v>
      </c>
      <c r="G19" s="15" t="s">
        <v>146</v>
      </c>
      <c r="H19" s="15" t="s">
        <v>146</v>
      </c>
      <c r="I19" s="15" t="s">
        <v>146</v>
      </c>
      <c r="J19" s="15" t="s">
        <v>146</v>
      </c>
      <c r="K19" s="15" t="s">
        <v>146</v>
      </c>
      <c r="L19" s="15" t="s">
        <v>146</v>
      </c>
      <c r="M19" s="15" t="s">
        <v>146</v>
      </c>
      <c r="N19" s="15" t="s">
        <v>146</v>
      </c>
      <c r="O19" s="15" t="s">
        <v>146</v>
      </c>
      <c r="P19" s="15" t="s">
        <v>146</v>
      </c>
      <c r="Q19" s="15" t="s">
        <v>146</v>
      </c>
      <c r="R19" s="15" t="s">
        <v>146</v>
      </c>
    </row>
    <row r="20" spans="1:18" ht="32.1" customHeight="1" x14ac:dyDescent="0.3">
      <c r="A20" s="13" t="s">
        <v>176</v>
      </c>
      <c r="B20" s="14" t="s">
        <v>172</v>
      </c>
      <c r="C20" s="15" t="s">
        <v>146</v>
      </c>
      <c r="D20" s="15" t="s">
        <v>146</v>
      </c>
      <c r="E20" s="15" t="s">
        <v>146</v>
      </c>
      <c r="F20" s="15" t="s">
        <v>146</v>
      </c>
      <c r="G20" s="15" t="s">
        <v>146</v>
      </c>
      <c r="H20" s="15" t="s">
        <v>146</v>
      </c>
      <c r="I20" s="15" t="s">
        <v>146</v>
      </c>
      <c r="J20" s="15" t="s">
        <v>146</v>
      </c>
      <c r="K20" s="15" t="s">
        <v>146</v>
      </c>
      <c r="L20" s="15" t="s">
        <v>146</v>
      </c>
      <c r="M20" s="15" t="s">
        <v>146</v>
      </c>
      <c r="N20" s="15" t="s">
        <v>146</v>
      </c>
      <c r="O20" s="15" t="s">
        <v>146</v>
      </c>
      <c r="P20" s="15" t="s">
        <v>146</v>
      </c>
      <c r="Q20" s="15" t="s">
        <v>146</v>
      </c>
      <c r="R20" s="15" t="s">
        <v>146</v>
      </c>
    </row>
    <row r="21" spans="1:18" ht="32.1" customHeight="1" x14ac:dyDescent="0.3">
      <c r="A21" s="13" t="s">
        <v>177</v>
      </c>
      <c r="B21" s="14" t="s">
        <v>178</v>
      </c>
      <c r="C21" s="15" t="s">
        <v>146</v>
      </c>
      <c r="D21" s="15" t="s">
        <v>146</v>
      </c>
      <c r="E21" s="15" t="s">
        <v>146</v>
      </c>
      <c r="F21" s="15" t="s">
        <v>146</v>
      </c>
      <c r="G21" s="15" t="s">
        <v>146</v>
      </c>
      <c r="H21" s="15" t="s">
        <v>146</v>
      </c>
      <c r="I21" s="15" t="s">
        <v>146</v>
      </c>
      <c r="J21" s="15" t="s">
        <v>146</v>
      </c>
      <c r="K21" s="15" t="s">
        <v>146</v>
      </c>
      <c r="L21" s="15" t="s">
        <v>146</v>
      </c>
      <c r="M21" s="15" t="s">
        <v>146</v>
      </c>
      <c r="N21" s="15" t="s">
        <v>146</v>
      </c>
      <c r="O21" s="15" t="s">
        <v>146</v>
      </c>
      <c r="P21" s="15" t="s">
        <v>146</v>
      </c>
      <c r="Q21" s="15" t="s">
        <v>146</v>
      </c>
      <c r="R21" s="15" t="s">
        <v>146</v>
      </c>
    </row>
    <row r="22" spans="1:18" ht="32.1" customHeight="1" x14ac:dyDescent="0.3">
      <c r="A22" s="13" t="s">
        <v>179</v>
      </c>
      <c r="B22" s="14" t="s">
        <v>180</v>
      </c>
      <c r="C22" s="15" t="s">
        <v>146</v>
      </c>
      <c r="D22" s="15" t="s">
        <v>146</v>
      </c>
      <c r="E22" s="15" t="s">
        <v>146</v>
      </c>
      <c r="F22" s="15" t="s">
        <v>146</v>
      </c>
      <c r="G22" s="15" t="s">
        <v>146</v>
      </c>
      <c r="H22" s="15" t="s">
        <v>146</v>
      </c>
      <c r="I22" s="15" t="s">
        <v>146</v>
      </c>
      <c r="J22" s="15" t="s">
        <v>146</v>
      </c>
      <c r="K22" s="15" t="s">
        <v>146</v>
      </c>
      <c r="L22" s="15" t="s">
        <v>146</v>
      </c>
      <c r="M22" s="15" t="s">
        <v>146</v>
      </c>
      <c r="N22" s="15" t="s">
        <v>146</v>
      </c>
      <c r="O22" s="15" t="s">
        <v>146</v>
      </c>
      <c r="P22" s="15" t="s">
        <v>146</v>
      </c>
      <c r="Q22" s="15" t="s">
        <v>146</v>
      </c>
      <c r="R22" s="15" t="s">
        <v>146</v>
      </c>
    </row>
    <row r="23" spans="1:18" ht="32.1" customHeight="1" x14ac:dyDescent="0.3">
      <c r="A23" s="13" t="s">
        <v>181</v>
      </c>
      <c r="B23" s="14" t="s">
        <v>182</v>
      </c>
      <c r="C23" s="15" t="s">
        <v>146</v>
      </c>
      <c r="D23" s="15" t="s">
        <v>146</v>
      </c>
      <c r="E23" s="15" t="s">
        <v>146</v>
      </c>
      <c r="F23" s="15" t="s">
        <v>146</v>
      </c>
      <c r="G23" s="15" t="s">
        <v>146</v>
      </c>
      <c r="H23" s="15" t="s">
        <v>146</v>
      </c>
      <c r="I23" s="15" t="s">
        <v>146</v>
      </c>
      <c r="J23" s="15" t="s">
        <v>146</v>
      </c>
      <c r="K23" s="15" t="s">
        <v>146</v>
      </c>
      <c r="L23" s="15" t="s">
        <v>146</v>
      </c>
      <c r="M23" s="15" t="s">
        <v>146</v>
      </c>
      <c r="N23" s="15" t="s">
        <v>146</v>
      </c>
      <c r="O23" s="15" t="s">
        <v>146</v>
      </c>
      <c r="P23" s="15" t="s">
        <v>146</v>
      </c>
      <c r="Q23" s="15" t="s">
        <v>146</v>
      </c>
      <c r="R23" s="15" t="s">
        <v>146</v>
      </c>
    </row>
    <row r="24" spans="1:18" ht="32.1" customHeight="1" x14ac:dyDescent="0.3">
      <c r="A24" s="13" t="s">
        <v>183</v>
      </c>
      <c r="B24" s="14" t="s">
        <v>184</v>
      </c>
      <c r="C24" s="15" t="s">
        <v>146</v>
      </c>
      <c r="D24" s="15" t="s">
        <v>146</v>
      </c>
      <c r="E24" s="15" t="s">
        <v>146</v>
      </c>
      <c r="F24" s="15" t="s">
        <v>146</v>
      </c>
      <c r="G24" s="15" t="s">
        <v>146</v>
      </c>
      <c r="H24" s="15" t="s">
        <v>146</v>
      </c>
      <c r="I24" s="15" t="s">
        <v>146</v>
      </c>
      <c r="J24" s="15" t="s">
        <v>146</v>
      </c>
      <c r="K24" s="15" t="s">
        <v>146</v>
      </c>
      <c r="L24" s="15" t="s">
        <v>146</v>
      </c>
      <c r="M24" s="15" t="s">
        <v>146</v>
      </c>
      <c r="N24" s="15" t="s">
        <v>146</v>
      </c>
      <c r="O24" s="15" t="s">
        <v>146</v>
      </c>
      <c r="P24" s="15" t="s">
        <v>146</v>
      </c>
      <c r="Q24" s="15" t="s">
        <v>146</v>
      </c>
      <c r="R24" s="15" t="s">
        <v>146</v>
      </c>
    </row>
    <row r="25" spans="1:18" ht="32.1" customHeight="1" x14ac:dyDescent="0.3">
      <c r="A25" s="13" t="s">
        <v>185</v>
      </c>
      <c r="B25" s="14" t="s">
        <v>186</v>
      </c>
      <c r="C25" s="15" t="s">
        <v>146</v>
      </c>
      <c r="D25" s="15" t="s">
        <v>146</v>
      </c>
      <c r="E25" s="15" t="s">
        <v>146</v>
      </c>
      <c r="F25" s="15" t="s">
        <v>146</v>
      </c>
      <c r="G25" s="15" t="s">
        <v>146</v>
      </c>
      <c r="H25" s="15" t="s">
        <v>146</v>
      </c>
      <c r="I25" s="15" t="s">
        <v>146</v>
      </c>
      <c r="J25" s="15" t="s">
        <v>146</v>
      </c>
      <c r="K25" s="15" t="s">
        <v>146</v>
      </c>
      <c r="L25" s="15" t="s">
        <v>146</v>
      </c>
      <c r="M25" s="15" t="s">
        <v>146</v>
      </c>
      <c r="N25" s="15" t="s">
        <v>146</v>
      </c>
      <c r="O25" s="15" t="s">
        <v>146</v>
      </c>
      <c r="P25" s="15" t="s">
        <v>146</v>
      </c>
      <c r="Q25" s="15" t="s">
        <v>146</v>
      </c>
      <c r="R25" s="15" t="s">
        <v>146</v>
      </c>
    </row>
    <row r="28" spans="1:18" x14ac:dyDescent="0.3">
      <c r="A28" s="48" t="s">
        <v>187</v>
      </c>
      <c r="B28" s="35"/>
      <c r="C28" s="35"/>
      <c r="D28" s="35"/>
      <c r="E28" s="35"/>
      <c r="F28" s="35"/>
      <c r="G28" s="35"/>
      <c r="H28" s="35"/>
    </row>
    <row r="29" spans="1:18" x14ac:dyDescent="0.3">
      <c r="A29" s="18" t="s">
        <v>188</v>
      </c>
      <c r="B29" s="49" t="e">
        <f>동시 적용 불가, 하나만 선택 (원칙)</f>
        <v>#NAME?</v>
      </c>
      <c r="C29" s="35"/>
      <c r="D29" s="35"/>
      <c r="E29" s="35"/>
      <c r="F29" s="35"/>
      <c r="G29" s="35"/>
      <c r="H29" s="35"/>
    </row>
    <row r="30" spans="1:18" x14ac:dyDescent="0.3">
      <c r="A30" s="19" t="s">
        <v>189</v>
      </c>
      <c r="B30" s="49"/>
      <c r="C30" s="35"/>
      <c r="D30" s="35"/>
      <c r="E30" s="35"/>
      <c r="F30" s="35"/>
      <c r="G30" s="35"/>
      <c r="H30" s="35"/>
    </row>
    <row r="31" spans="1:18" x14ac:dyDescent="0.3">
      <c r="A31" s="20" t="s">
        <v>190</v>
      </c>
      <c r="B31" s="49" t="e">
        <f ca="1">§6 창업감면 + §29의7(통합고용) 또는 §29의8 → 단서로 동시 적용 불가 명시</f>
        <v>#NAME?</v>
      </c>
      <c r="C31" s="35"/>
      <c r="D31" s="35"/>
      <c r="E31" s="35"/>
      <c r="F31" s="35"/>
      <c r="G31" s="35"/>
      <c r="H31" s="35"/>
    </row>
    <row r="32" spans="1:18" x14ac:dyDescent="0.3">
      <c r="A32" s="51" t="s">
        <v>191</v>
      </c>
      <c r="B32" s="35"/>
      <c r="C32" s="35"/>
      <c r="D32" s="35"/>
      <c r="E32" s="35"/>
      <c r="F32" s="35"/>
      <c r="G32" s="35"/>
      <c r="H32" s="35"/>
    </row>
  </sheetData>
  <mergeCells count="8">
    <mergeCell ref="A1:H1"/>
    <mergeCell ref="A32:H32"/>
    <mergeCell ref="B31:H31"/>
    <mergeCell ref="A4:B4"/>
    <mergeCell ref="A2:H2"/>
    <mergeCell ref="A28:H28"/>
    <mergeCell ref="B30:H30"/>
    <mergeCell ref="B29:H29"/>
  </mergeCells>
  <phoneticPr fontId="23" type="noConversion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1"/>
    </sheetView>
  </sheetViews>
  <sheetFormatPr defaultRowHeight="16.5" x14ac:dyDescent="0.3"/>
  <cols>
    <col min="1" max="2" width="18" customWidth="1"/>
    <col min="3" max="3" width="38" customWidth="1"/>
    <col min="4" max="4" width="25" customWidth="1"/>
  </cols>
  <sheetData>
    <row r="1" spans="1:4" ht="27.95" customHeight="1" x14ac:dyDescent="0.3">
      <c r="A1" s="43" t="s">
        <v>192</v>
      </c>
      <c r="B1" s="35"/>
      <c r="C1" s="35"/>
      <c r="D1" s="35"/>
    </row>
    <row r="2" spans="1:4" x14ac:dyDescent="0.3">
      <c r="A2" s="47" t="s">
        <v>193</v>
      </c>
      <c r="B2" s="35"/>
      <c r="C2" s="35"/>
      <c r="D2" s="35"/>
    </row>
    <row r="4" spans="1:4" ht="26.1" customHeight="1" x14ac:dyDescent="0.3">
      <c r="A4" s="21" t="s">
        <v>102</v>
      </c>
      <c r="B4" s="21" t="s">
        <v>62</v>
      </c>
      <c r="C4" s="21" t="s">
        <v>194</v>
      </c>
      <c r="D4" s="21" t="s">
        <v>195</v>
      </c>
    </row>
    <row r="5" spans="1:4" x14ac:dyDescent="0.3">
      <c r="A5" s="9" t="s">
        <v>196</v>
      </c>
      <c r="B5" s="10" t="s">
        <v>144</v>
      </c>
      <c r="C5" s="8" t="s">
        <v>197</v>
      </c>
      <c r="D5" s="11" t="s">
        <v>198</v>
      </c>
    </row>
    <row r="6" spans="1:4" x14ac:dyDescent="0.3">
      <c r="A6" s="9" t="s">
        <v>196</v>
      </c>
      <c r="B6" s="10" t="s">
        <v>148</v>
      </c>
      <c r="C6" s="8" t="s">
        <v>149</v>
      </c>
      <c r="D6" s="11" t="s">
        <v>198</v>
      </c>
    </row>
    <row r="7" spans="1:4" x14ac:dyDescent="0.3">
      <c r="A7" s="9" t="s">
        <v>199</v>
      </c>
      <c r="B7" s="10" t="s">
        <v>151</v>
      </c>
      <c r="C7" s="8" t="s">
        <v>200</v>
      </c>
      <c r="D7" s="22"/>
    </row>
    <row r="8" spans="1:4" x14ac:dyDescent="0.3">
      <c r="A8" s="9" t="s">
        <v>201</v>
      </c>
      <c r="B8" s="10" t="s">
        <v>202</v>
      </c>
      <c r="C8" s="8" t="s">
        <v>154</v>
      </c>
      <c r="D8" s="22"/>
    </row>
    <row r="9" spans="1:4" x14ac:dyDescent="0.3">
      <c r="A9" s="9" t="s">
        <v>201</v>
      </c>
      <c r="B9" s="10" t="s">
        <v>203</v>
      </c>
      <c r="C9" s="8" t="s">
        <v>156</v>
      </c>
      <c r="D9" s="22"/>
    </row>
    <row r="10" spans="1:4" x14ac:dyDescent="0.3">
      <c r="A10" s="9" t="s">
        <v>204</v>
      </c>
      <c r="B10" s="10" t="s">
        <v>205</v>
      </c>
      <c r="C10" s="8" t="s">
        <v>158</v>
      </c>
      <c r="D10" s="22"/>
    </row>
    <row r="11" spans="1:4" x14ac:dyDescent="0.3">
      <c r="A11" s="9" t="s">
        <v>206</v>
      </c>
      <c r="B11" s="10" t="s">
        <v>207</v>
      </c>
      <c r="C11" s="8" t="s">
        <v>160</v>
      </c>
      <c r="D11" s="22"/>
    </row>
    <row r="12" spans="1:4" x14ac:dyDescent="0.3">
      <c r="A12" s="9" t="s">
        <v>206</v>
      </c>
      <c r="B12" s="10" t="s">
        <v>208</v>
      </c>
      <c r="C12" s="8" t="s">
        <v>209</v>
      </c>
      <c r="D12" s="22"/>
    </row>
    <row r="13" spans="1:4" x14ac:dyDescent="0.3">
      <c r="A13" s="9" t="s">
        <v>210</v>
      </c>
      <c r="B13" s="10" t="s">
        <v>163</v>
      </c>
      <c r="C13" s="8" t="s">
        <v>164</v>
      </c>
      <c r="D13" s="22"/>
    </row>
    <row r="14" spans="1:4" x14ac:dyDescent="0.3">
      <c r="A14" s="9" t="s">
        <v>211</v>
      </c>
      <c r="B14" s="10" t="s">
        <v>212</v>
      </c>
      <c r="C14" s="8" t="s">
        <v>213</v>
      </c>
      <c r="D14" s="22"/>
    </row>
    <row r="15" spans="1:4" x14ac:dyDescent="0.3">
      <c r="A15" s="9" t="s">
        <v>214</v>
      </c>
      <c r="B15" s="10" t="s">
        <v>215</v>
      </c>
      <c r="C15" s="8" t="s">
        <v>170</v>
      </c>
      <c r="D15" s="22"/>
    </row>
    <row r="16" spans="1:4" x14ac:dyDescent="0.3">
      <c r="A16" s="9" t="s">
        <v>214</v>
      </c>
      <c r="B16" s="10" t="s">
        <v>216</v>
      </c>
      <c r="C16" s="8" t="s">
        <v>172</v>
      </c>
      <c r="D16" s="22"/>
    </row>
    <row r="17" spans="1:4" x14ac:dyDescent="0.3">
      <c r="A17" s="9" t="s">
        <v>217</v>
      </c>
      <c r="B17" s="10" t="s">
        <v>218</v>
      </c>
      <c r="C17" s="8" t="s">
        <v>174</v>
      </c>
      <c r="D17" s="22"/>
    </row>
    <row r="18" spans="1:4" x14ac:dyDescent="0.3">
      <c r="A18" s="9" t="s">
        <v>214</v>
      </c>
      <c r="B18" s="10" t="s">
        <v>175</v>
      </c>
      <c r="C18" s="8" t="s">
        <v>170</v>
      </c>
      <c r="D18" s="22"/>
    </row>
    <row r="19" spans="1:4" x14ac:dyDescent="0.3">
      <c r="A19" s="9" t="s">
        <v>214</v>
      </c>
      <c r="B19" s="10" t="s">
        <v>219</v>
      </c>
      <c r="C19" s="8" t="s">
        <v>172</v>
      </c>
      <c r="D19" s="22"/>
    </row>
    <row r="20" spans="1:4" x14ac:dyDescent="0.3">
      <c r="A20" s="9" t="s">
        <v>214</v>
      </c>
      <c r="B20" s="10" t="s">
        <v>220</v>
      </c>
      <c r="C20" s="8" t="s">
        <v>178</v>
      </c>
      <c r="D20" s="22"/>
    </row>
    <row r="21" spans="1:4" x14ac:dyDescent="0.3">
      <c r="A21" s="9" t="s">
        <v>214</v>
      </c>
      <c r="B21" s="10" t="s">
        <v>221</v>
      </c>
      <c r="C21" s="8" t="s">
        <v>180</v>
      </c>
      <c r="D21" s="22"/>
    </row>
    <row r="22" spans="1:4" x14ac:dyDescent="0.3">
      <c r="A22" s="9" t="s">
        <v>214</v>
      </c>
      <c r="B22" s="10" t="s">
        <v>222</v>
      </c>
      <c r="C22" s="8" t="s">
        <v>182</v>
      </c>
      <c r="D22" s="22"/>
    </row>
    <row r="23" spans="1:4" x14ac:dyDescent="0.3">
      <c r="A23" s="9" t="s">
        <v>214</v>
      </c>
      <c r="B23" s="10" t="s">
        <v>223</v>
      </c>
      <c r="C23" s="8" t="s">
        <v>184</v>
      </c>
      <c r="D23" s="22"/>
    </row>
    <row r="24" spans="1:4" x14ac:dyDescent="0.3">
      <c r="A24" s="9" t="s">
        <v>214</v>
      </c>
      <c r="B24" s="10" t="s">
        <v>224</v>
      </c>
      <c r="C24" s="8" t="s">
        <v>186</v>
      </c>
      <c r="D24" s="22"/>
    </row>
    <row r="25" spans="1:4" x14ac:dyDescent="0.3">
      <c r="A25" s="9" t="s">
        <v>225</v>
      </c>
      <c r="B25" s="10" t="s">
        <v>226</v>
      </c>
      <c r="C25" s="8" t="s">
        <v>227</v>
      </c>
      <c r="D25" s="11" t="s">
        <v>228</v>
      </c>
    </row>
    <row r="26" spans="1:4" x14ac:dyDescent="0.3">
      <c r="A26" s="9" t="s">
        <v>225</v>
      </c>
      <c r="B26" s="10" t="s">
        <v>229</v>
      </c>
      <c r="C26" s="8" t="s">
        <v>227</v>
      </c>
      <c r="D26" s="11" t="s">
        <v>228</v>
      </c>
    </row>
  </sheetData>
  <mergeCells count="2">
    <mergeCell ref="A1:D1"/>
    <mergeCell ref="A2:D2"/>
  </mergeCells>
  <phoneticPr fontId="2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1"/>
    </sheetView>
  </sheetViews>
  <sheetFormatPr defaultRowHeight="16.5" x14ac:dyDescent="0.3"/>
  <cols>
    <col min="1" max="1" width="10" customWidth="1"/>
    <col min="2" max="2" width="35" customWidth="1"/>
    <col min="3" max="3" width="25" customWidth="1"/>
    <col min="4" max="4" width="40" customWidth="1"/>
  </cols>
  <sheetData>
    <row r="1" spans="1:4" ht="27.95" customHeight="1" x14ac:dyDescent="0.3">
      <c r="A1" s="43" t="s">
        <v>230</v>
      </c>
      <c r="B1" s="35"/>
      <c r="C1" s="35"/>
      <c r="D1" s="35"/>
    </row>
    <row r="3" spans="1:4" ht="26.1" customHeight="1" x14ac:dyDescent="0.3">
      <c r="A3" s="21" t="s">
        <v>2</v>
      </c>
      <c r="B3" s="21" t="s">
        <v>231</v>
      </c>
      <c r="C3" s="21" t="s">
        <v>232</v>
      </c>
      <c r="D3" s="21" t="s">
        <v>195</v>
      </c>
    </row>
    <row r="4" spans="1:4" ht="54.95" customHeight="1" x14ac:dyDescent="0.3">
      <c r="A4" s="2" t="s">
        <v>37</v>
      </c>
      <c r="B4" s="3" t="s">
        <v>233</v>
      </c>
      <c r="C4" s="5" t="s">
        <v>234</v>
      </c>
      <c r="D4" s="3" t="s">
        <v>235</v>
      </c>
    </row>
    <row r="5" spans="1:4" ht="54.95" customHeight="1" x14ac:dyDescent="0.3">
      <c r="A5" s="2" t="s">
        <v>42</v>
      </c>
      <c r="B5" s="3" t="s">
        <v>236</v>
      </c>
      <c r="C5" s="5" t="s">
        <v>237</v>
      </c>
      <c r="D5" s="3" t="s">
        <v>238</v>
      </c>
    </row>
    <row r="6" spans="1:4" ht="54.95" customHeight="1" x14ac:dyDescent="0.3">
      <c r="A6" s="2" t="s">
        <v>46</v>
      </c>
      <c r="B6" s="3" t="s">
        <v>239</v>
      </c>
      <c r="C6" s="5" t="s">
        <v>240</v>
      </c>
      <c r="D6" s="3" t="s">
        <v>241</v>
      </c>
    </row>
  </sheetData>
  <mergeCells count="1">
    <mergeCell ref="A1:D1"/>
  </mergeCells>
  <phoneticPr fontId="2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pane ySplit="4" topLeftCell="A8" activePane="bottomLeft" state="frozen"/>
      <selection pane="bottomLeft" sqref="A1:F1"/>
    </sheetView>
  </sheetViews>
  <sheetFormatPr defaultRowHeight="16.5" x14ac:dyDescent="0.3"/>
  <cols>
    <col min="1" max="1" width="12" customWidth="1"/>
    <col min="2" max="2" width="25" customWidth="1"/>
    <col min="3" max="3" width="12" customWidth="1"/>
    <col min="4" max="5" width="25" customWidth="1"/>
    <col min="6" max="6" width="12" customWidth="1"/>
  </cols>
  <sheetData>
    <row r="1" spans="1:6" ht="27.95" customHeight="1" x14ac:dyDescent="0.3">
      <c r="A1" s="50" t="s">
        <v>242</v>
      </c>
      <c r="B1" s="35"/>
      <c r="C1" s="35"/>
      <c r="D1" s="35"/>
      <c r="E1" s="35"/>
      <c r="F1" s="35"/>
    </row>
    <row r="2" spans="1:6" x14ac:dyDescent="0.3">
      <c r="A2" s="34" t="s">
        <v>243</v>
      </c>
      <c r="B2" s="35"/>
      <c r="C2" s="35"/>
      <c r="D2" s="35"/>
      <c r="E2" s="35"/>
      <c r="F2" s="35"/>
    </row>
    <row r="4" spans="1:6" ht="26.1" customHeight="1" x14ac:dyDescent="0.3">
      <c r="A4" s="23" t="s">
        <v>244</v>
      </c>
      <c r="B4" s="23" t="s">
        <v>245</v>
      </c>
      <c r="C4" s="23" t="s">
        <v>246</v>
      </c>
      <c r="D4" s="23" t="s">
        <v>247</v>
      </c>
      <c r="E4" s="23" t="s">
        <v>248</v>
      </c>
      <c r="F4" s="23" t="s">
        <v>249</v>
      </c>
    </row>
    <row r="5" spans="1:6" x14ac:dyDescent="0.3">
      <c r="A5" s="24" t="s">
        <v>250</v>
      </c>
      <c r="B5" s="25" t="s">
        <v>251</v>
      </c>
      <c r="C5" s="24" t="s">
        <v>66</v>
      </c>
      <c r="D5" s="25" t="s">
        <v>107</v>
      </c>
      <c r="E5" s="26" t="s">
        <v>252</v>
      </c>
      <c r="F5" s="27" t="s">
        <v>253</v>
      </c>
    </row>
    <row r="6" spans="1:6" x14ac:dyDescent="0.3">
      <c r="A6" s="24" t="s">
        <v>250</v>
      </c>
      <c r="B6" s="25" t="s">
        <v>251</v>
      </c>
      <c r="C6" s="24" t="s">
        <v>68</v>
      </c>
      <c r="D6" s="25" t="s">
        <v>254</v>
      </c>
      <c r="E6" s="26" t="s">
        <v>252</v>
      </c>
      <c r="F6" s="27" t="s">
        <v>253</v>
      </c>
    </row>
    <row r="7" spans="1:6" x14ac:dyDescent="0.3">
      <c r="A7" s="24" t="s">
        <v>66</v>
      </c>
      <c r="B7" s="25" t="s">
        <v>107</v>
      </c>
      <c r="C7" s="24" t="s">
        <v>68</v>
      </c>
      <c r="D7" s="25" t="s">
        <v>254</v>
      </c>
      <c r="E7" s="26" t="s">
        <v>252</v>
      </c>
      <c r="F7" s="27" t="s">
        <v>253</v>
      </c>
    </row>
    <row r="8" spans="1:6" x14ac:dyDescent="0.3">
      <c r="A8" s="24" t="s">
        <v>255</v>
      </c>
      <c r="B8" s="25" t="s">
        <v>256</v>
      </c>
      <c r="C8" s="24" t="s">
        <v>115</v>
      </c>
      <c r="D8" s="25" t="s">
        <v>257</v>
      </c>
      <c r="E8" s="26" t="s">
        <v>258</v>
      </c>
      <c r="F8" s="27" t="s">
        <v>253</v>
      </c>
    </row>
    <row r="9" spans="1:6" x14ac:dyDescent="0.3">
      <c r="A9" s="24" t="s">
        <v>68</v>
      </c>
      <c r="B9" s="25" t="s">
        <v>254</v>
      </c>
      <c r="C9" s="24" t="s">
        <v>119</v>
      </c>
      <c r="D9" s="25" t="s">
        <v>259</v>
      </c>
      <c r="E9" s="26" t="s">
        <v>258</v>
      </c>
      <c r="F9" s="27" t="s">
        <v>253</v>
      </c>
    </row>
    <row r="10" spans="1:6" x14ac:dyDescent="0.3">
      <c r="A10" s="24" t="s">
        <v>68</v>
      </c>
      <c r="B10" s="25" t="s">
        <v>254</v>
      </c>
      <c r="C10" s="24" t="s">
        <v>123</v>
      </c>
      <c r="D10" s="25" t="s">
        <v>260</v>
      </c>
      <c r="E10" s="26" t="s">
        <v>258</v>
      </c>
      <c r="F10" s="27" t="s">
        <v>253</v>
      </c>
    </row>
    <row r="11" spans="1:6" x14ac:dyDescent="0.3">
      <c r="A11" s="24" t="s">
        <v>144</v>
      </c>
      <c r="B11" s="25" t="s">
        <v>145</v>
      </c>
      <c r="C11" s="24" t="s">
        <v>66</v>
      </c>
      <c r="D11" s="25" t="s">
        <v>107</v>
      </c>
      <c r="E11" s="26" t="s">
        <v>258</v>
      </c>
      <c r="F11" s="27" t="s">
        <v>261</v>
      </c>
    </row>
    <row r="12" spans="1:6" x14ac:dyDescent="0.3">
      <c r="A12" s="24" t="s">
        <v>144</v>
      </c>
      <c r="B12" s="25" t="s">
        <v>145</v>
      </c>
      <c r="C12" s="24" t="s">
        <v>68</v>
      </c>
      <c r="D12" s="25" t="s">
        <v>254</v>
      </c>
      <c r="E12" s="26" t="s">
        <v>258</v>
      </c>
      <c r="F12" s="27" t="s">
        <v>261</v>
      </c>
    </row>
    <row r="13" spans="1:6" x14ac:dyDescent="0.3">
      <c r="A13" s="24" t="s">
        <v>144</v>
      </c>
      <c r="B13" s="25" t="s">
        <v>145</v>
      </c>
      <c r="C13" s="24" t="s">
        <v>262</v>
      </c>
      <c r="D13" s="25" t="s">
        <v>263</v>
      </c>
      <c r="E13" s="28" t="s">
        <v>264</v>
      </c>
      <c r="F13" s="27" t="s">
        <v>265</v>
      </c>
    </row>
    <row r="14" spans="1:6" x14ac:dyDescent="0.3">
      <c r="A14" s="24" t="s">
        <v>144</v>
      </c>
      <c r="B14" s="25" t="s">
        <v>145</v>
      </c>
      <c r="C14" s="24" t="s">
        <v>266</v>
      </c>
      <c r="D14" s="25" t="s">
        <v>57</v>
      </c>
      <c r="E14" s="28" t="s">
        <v>264</v>
      </c>
      <c r="F14" s="27" t="s">
        <v>265</v>
      </c>
    </row>
    <row r="15" spans="1:6" x14ac:dyDescent="0.3">
      <c r="A15" s="24" t="s">
        <v>144</v>
      </c>
      <c r="B15" s="25" t="s">
        <v>145</v>
      </c>
      <c r="C15" s="24" t="s">
        <v>267</v>
      </c>
      <c r="D15" s="25" t="s">
        <v>268</v>
      </c>
      <c r="E15" s="26" t="s">
        <v>269</v>
      </c>
      <c r="F15" s="27" t="s">
        <v>261</v>
      </c>
    </row>
    <row r="16" spans="1:6" x14ac:dyDescent="0.3">
      <c r="A16" s="24" t="s">
        <v>144</v>
      </c>
      <c r="B16" s="25" t="s">
        <v>145</v>
      </c>
      <c r="C16" s="24" t="s">
        <v>270</v>
      </c>
      <c r="D16" s="25" t="s">
        <v>271</v>
      </c>
      <c r="E16" s="26" t="s">
        <v>269</v>
      </c>
      <c r="F16" s="27" t="s">
        <v>261</v>
      </c>
    </row>
    <row r="17" spans="1:6" x14ac:dyDescent="0.3">
      <c r="A17" s="24" t="s">
        <v>144</v>
      </c>
      <c r="B17" s="25" t="s">
        <v>145</v>
      </c>
      <c r="C17" s="24" t="s">
        <v>272</v>
      </c>
      <c r="D17" s="25" t="s">
        <v>273</v>
      </c>
      <c r="E17" s="26" t="s">
        <v>269</v>
      </c>
      <c r="F17" s="27" t="s">
        <v>261</v>
      </c>
    </row>
    <row r="18" spans="1:6" x14ac:dyDescent="0.3">
      <c r="A18" s="24" t="s">
        <v>144</v>
      </c>
      <c r="B18" s="25" t="s">
        <v>145</v>
      </c>
      <c r="C18" s="24" t="s">
        <v>274</v>
      </c>
      <c r="D18" s="25" t="s">
        <v>251</v>
      </c>
      <c r="E18" s="26" t="s">
        <v>269</v>
      </c>
      <c r="F18" s="27" t="s">
        <v>261</v>
      </c>
    </row>
    <row r="19" spans="1:6" x14ac:dyDescent="0.3">
      <c r="A19" s="24" t="s">
        <v>144</v>
      </c>
      <c r="B19" s="25" t="s">
        <v>145</v>
      </c>
      <c r="C19" s="24" t="s">
        <v>123</v>
      </c>
      <c r="D19" s="25" t="s">
        <v>260</v>
      </c>
      <c r="E19" s="26" t="s">
        <v>269</v>
      </c>
      <c r="F19" s="27" t="s">
        <v>261</v>
      </c>
    </row>
    <row r="20" spans="1:6" x14ac:dyDescent="0.3">
      <c r="A20" s="24" t="s">
        <v>144</v>
      </c>
      <c r="B20" s="25" t="s">
        <v>145</v>
      </c>
      <c r="C20" s="24" t="s">
        <v>275</v>
      </c>
      <c r="D20" s="25" t="s">
        <v>276</v>
      </c>
      <c r="E20" s="26" t="s">
        <v>269</v>
      </c>
      <c r="F20" s="27" t="s">
        <v>261</v>
      </c>
    </row>
    <row r="21" spans="1:6" x14ac:dyDescent="0.3">
      <c r="A21" s="24" t="s">
        <v>144</v>
      </c>
      <c r="B21" s="25" t="s">
        <v>145</v>
      </c>
      <c r="C21" s="24" t="s">
        <v>277</v>
      </c>
      <c r="D21" s="25" t="s">
        <v>278</v>
      </c>
      <c r="E21" s="26" t="s">
        <v>269</v>
      </c>
      <c r="F21" s="27" t="s">
        <v>261</v>
      </c>
    </row>
    <row r="22" spans="1:6" x14ac:dyDescent="0.3">
      <c r="A22" s="24" t="s">
        <v>144</v>
      </c>
      <c r="B22" s="25" t="s">
        <v>145</v>
      </c>
      <c r="C22" s="24" t="s">
        <v>279</v>
      </c>
      <c r="D22" s="25" t="s">
        <v>280</v>
      </c>
      <c r="E22" s="26" t="s">
        <v>269</v>
      </c>
      <c r="F22" s="27" t="s">
        <v>261</v>
      </c>
    </row>
    <row r="23" spans="1:6" x14ac:dyDescent="0.3">
      <c r="A23" s="24" t="s">
        <v>144</v>
      </c>
      <c r="B23" s="25" t="s">
        <v>145</v>
      </c>
      <c r="C23" s="24" t="s">
        <v>281</v>
      </c>
      <c r="D23" s="25" t="s">
        <v>282</v>
      </c>
      <c r="E23" s="26" t="s">
        <v>269</v>
      </c>
      <c r="F23" s="27" t="s">
        <v>261</v>
      </c>
    </row>
    <row r="24" spans="1:6" x14ac:dyDescent="0.3">
      <c r="A24" s="24" t="s">
        <v>144</v>
      </c>
      <c r="B24" s="25" t="s">
        <v>145</v>
      </c>
      <c r="C24" s="24" t="s">
        <v>283</v>
      </c>
      <c r="D24" s="25" t="s">
        <v>284</v>
      </c>
      <c r="E24" s="26" t="s">
        <v>269</v>
      </c>
      <c r="F24" s="27" t="s">
        <v>261</v>
      </c>
    </row>
    <row r="25" spans="1:6" x14ac:dyDescent="0.3">
      <c r="A25" s="24" t="s">
        <v>144</v>
      </c>
      <c r="B25" s="25" t="s">
        <v>145</v>
      </c>
      <c r="C25" s="24" t="s">
        <v>285</v>
      </c>
      <c r="D25" s="25" t="s">
        <v>286</v>
      </c>
      <c r="E25" s="26" t="s">
        <v>269</v>
      </c>
      <c r="F25" s="27" t="s">
        <v>261</v>
      </c>
    </row>
    <row r="26" spans="1:6" x14ac:dyDescent="0.3">
      <c r="A26" s="24" t="s">
        <v>144</v>
      </c>
      <c r="B26" s="25" t="s">
        <v>145</v>
      </c>
      <c r="C26" s="24" t="s">
        <v>287</v>
      </c>
      <c r="D26" s="25" t="s">
        <v>288</v>
      </c>
      <c r="E26" s="26" t="s">
        <v>269</v>
      </c>
      <c r="F26" s="27" t="s">
        <v>261</v>
      </c>
    </row>
    <row r="27" spans="1:6" x14ac:dyDescent="0.3">
      <c r="A27" s="24" t="s">
        <v>148</v>
      </c>
      <c r="B27" s="25" t="s">
        <v>149</v>
      </c>
      <c r="C27" s="24" t="s">
        <v>66</v>
      </c>
      <c r="D27" s="25" t="s">
        <v>107</v>
      </c>
      <c r="E27" s="26" t="s">
        <v>258</v>
      </c>
      <c r="F27" s="27" t="s">
        <v>261</v>
      </c>
    </row>
    <row r="28" spans="1:6" x14ac:dyDescent="0.3">
      <c r="A28" s="24" t="s">
        <v>148</v>
      </c>
      <c r="B28" s="25" t="s">
        <v>149</v>
      </c>
      <c r="C28" s="24" t="s">
        <v>68</v>
      </c>
      <c r="D28" s="25" t="s">
        <v>254</v>
      </c>
      <c r="E28" s="26" t="s">
        <v>269</v>
      </c>
      <c r="F28" s="27" t="s">
        <v>261</v>
      </c>
    </row>
    <row r="29" spans="1:6" x14ac:dyDescent="0.3">
      <c r="A29" s="24" t="s">
        <v>148</v>
      </c>
      <c r="B29" s="25" t="s">
        <v>149</v>
      </c>
      <c r="C29" s="24" t="s">
        <v>262</v>
      </c>
      <c r="D29" s="25" t="s">
        <v>263</v>
      </c>
      <c r="E29" s="26" t="s">
        <v>269</v>
      </c>
      <c r="F29" s="27" t="s">
        <v>261</v>
      </c>
    </row>
    <row r="30" spans="1:6" x14ac:dyDescent="0.3">
      <c r="A30" s="24" t="s">
        <v>148</v>
      </c>
      <c r="B30" s="25" t="s">
        <v>149</v>
      </c>
      <c r="C30" s="24" t="s">
        <v>266</v>
      </c>
      <c r="D30" s="25" t="s">
        <v>57</v>
      </c>
      <c r="E30" s="26" t="s">
        <v>269</v>
      </c>
      <c r="F30" s="27" t="s">
        <v>261</v>
      </c>
    </row>
    <row r="31" spans="1:6" x14ac:dyDescent="0.3">
      <c r="A31" s="24" t="s">
        <v>148</v>
      </c>
      <c r="B31" s="25" t="s">
        <v>149</v>
      </c>
      <c r="C31" s="24" t="s">
        <v>123</v>
      </c>
      <c r="D31" s="25" t="s">
        <v>260</v>
      </c>
      <c r="E31" s="29" t="s">
        <v>289</v>
      </c>
      <c r="F31" s="27" t="s">
        <v>265</v>
      </c>
    </row>
    <row r="32" spans="1:6" x14ac:dyDescent="0.3">
      <c r="A32" s="24" t="s">
        <v>148</v>
      </c>
      <c r="B32" s="25" t="s">
        <v>149</v>
      </c>
      <c r="C32" s="24" t="s">
        <v>272</v>
      </c>
      <c r="D32" s="25" t="s">
        <v>273</v>
      </c>
      <c r="E32" s="26" t="s">
        <v>269</v>
      </c>
      <c r="F32" s="27" t="s">
        <v>261</v>
      </c>
    </row>
    <row r="33" spans="1:6" x14ac:dyDescent="0.3">
      <c r="A33" s="24" t="s">
        <v>148</v>
      </c>
      <c r="B33" s="25" t="s">
        <v>149</v>
      </c>
      <c r="C33" s="24" t="s">
        <v>267</v>
      </c>
      <c r="D33" s="25" t="s">
        <v>268</v>
      </c>
      <c r="E33" s="26" t="s">
        <v>269</v>
      </c>
      <c r="F33" s="27" t="s">
        <v>261</v>
      </c>
    </row>
    <row r="34" spans="1:6" x14ac:dyDescent="0.3">
      <c r="A34" s="24" t="s">
        <v>148</v>
      </c>
      <c r="B34" s="25" t="s">
        <v>149</v>
      </c>
      <c r="C34" s="24" t="s">
        <v>270</v>
      </c>
      <c r="D34" s="25" t="s">
        <v>271</v>
      </c>
      <c r="E34" s="26" t="s">
        <v>269</v>
      </c>
      <c r="F34" s="27" t="s">
        <v>261</v>
      </c>
    </row>
    <row r="35" spans="1:6" x14ac:dyDescent="0.3">
      <c r="A35" s="24" t="s">
        <v>148</v>
      </c>
      <c r="B35" s="25" t="s">
        <v>149</v>
      </c>
      <c r="C35" s="24" t="s">
        <v>275</v>
      </c>
      <c r="D35" s="25" t="s">
        <v>276</v>
      </c>
      <c r="E35" s="26" t="s">
        <v>269</v>
      </c>
      <c r="F35" s="27" t="s">
        <v>261</v>
      </c>
    </row>
    <row r="36" spans="1:6" x14ac:dyDescent="0.3">
      <c r="A36" s="24" t="s">
        <v>148</v>
      </c>
      <c r="B36" s="25" t="s">
        <v>149</v>
      </c>
      <c r="C36" s="24" t="s">
        <v>277</v>
      </c>
      <c r="D36" s="25" t="s">
        <v>278</v>
      </c>
      <c r="E36" s="26" t="s">
        <v>269</v>
      </c>
      <c r="F36" s="27" t="s">
        <v>261</v>
      </c>
    </row>
    <row r="37" spans="1:6" x14ac:dyDescent="0.3">
      <c r="A37" s="24" t="s">
        <v>148</v>
      </c>
      <c r="B37" s="25" t="s">
        <v>149</v>
      </c>
      <c r="C37" s="24" t="s">
        <v>279</v>
      </c>
      <c r="D37" s="25" t="s">
        <v>280</v>
      </c>
      <c r="E37" s="26" t="s">
        <v>269</v>
      </c>
      <c r="F37" s="27" t="s">
        <v>261</v>
      </c>
    </row>
    <row r="38" spans="1:6" x14ac:dyDescent="0.3">
      <c r="A38" s="24" t="s">
        <v>148</v>
      </c>
      <c r="B38" s="25" t="s">
        <v>149</v>
      </c>
      <c r="C38" s="24" t="s">
        <v>281</v>
      </c>
      <c r="D38" s="25" t="s">
        <v>282</v>
      </c>
      <c r="E38" s="26" t="s">
        <v>269</v>
      </c>
      <c r="F38" s="27" t="s">
        <v>261</v>
      </c>
    </row>
    <row r="39" spans="1:6" x14ac:dyDescent="0.3">
      <c r="A39" s="24" t="s">
        <v>148</v>
      </c>
      <c r="B39" s="25" t="s">
        <v>149</v>
      </c>
      <c r="C39" s="24" t="s">
        <v>283</v>
      </c>
      <c r="D39" s="25" t="s">
        <v>284</v>
      </c>
      <c r="E39" s="26" t="s">
        <v>269</v>
      </c>
      <c r="F39" s="27" t="s">
        <v>261</v>
      </c>
    </row>
    <row r="40" spans="1:6" x14ac:dyDescent="0.3">
      <c r="A40" s="24" t="s">
        <v>148</v>
      </c>
      <c r="B40" s="25" t="s">
        <v>149</v>
      </c>
      <c r="C40" s="24" t="s">
        <v>285</v>
      </c>
      <c r="D40" s="25" t="s">
        <v>286</v>
      </c>
      <c r="E40" s="26" t="s">
        <v>269</v>
      </c>
      <c r="F40" s="27" t="s">
        <v>261</v>
      </c>
    </row>
    <row r="41" spans="1:6" x14ac:dyDescent="0.3">
      <c r="A41" s="24" t="s">
        <v>148</v>
      </c>
      <c r="B41" s="25" t="s">
        <v>149</v>
      </c>
      <c r="C41" s="24" t="s">
        <v>287</v>
      </c>
      <c r="D41" s="25" t="s">
        <v>288</v>
      </c>
      <c r="E41" s="26" t="s">
        <v>269</v>
      </c>
      <c r="F41" s="27" t="s">
        <v>261</v>
      </c>
    </row>
    <row r="42" spans="1:6" x14ac:dyDescent="0.3">
      <c r="A42" s="24" t="s">
        <v>144</v>
      </c>
      <c r="B42" s="25" t="s">
        <v>145</v>
      </c>
      <c r="C42" s="24" t="s">
        <v>148</v>
      </c>
      <c r="D42" s="25" t="s">
        <v>149</v>
      </c>
      <c r="E42" s="26" t="s">
        <v>290</v>
      </c>
      <c r="F42" s="27" t="s">
        <v>291</v>
      </c>
    </row>
    <row r="43" spans="1:6" x14ac:dyDescent="0.3">
      <c r="A43" s="24" t="s">
        <v>144</v>
      </c>
      <c r="B43" s="25" t="s">
        <v>145</v>
      </c>
      <c r="C43" s="24" t="s">
        <v>159</v>
      </c>
      <c r="D43" s="25" t="s">
        <v>292</v>
      </c>
      <c r="E43" s="26" t="s">
        <v>269</v>
      </c>
      <c r="F43" s="27" t="s">
        <v>291</v>
      </c>
    </row>
    <row r="44" spans="1:6" x14ac:dyDescent="0.3">
      <c r="A44" s="24" t="s">
        <v>148</v>
      </c>
      <c r="B44" s="25" t="s">
        <v>149</v>
      </c>
      <c r="C44" s="24" t="s">
        <v>159</v>
      </c>
      <c r="D44" s="25" t="s">
        <v>292</v>
      </c>
      <c r="E44" s="26" t="s">
        <v>269</v>
      </c>
      <c r="F44" s="27" t="s">
        <v>291</v>
      </c>
    </row>
    <row r="45" spans="1:6" x14ac:dyDescent="0.3">
      <c r="A45" s="24" t="s">
        <v>148</v>
      </c>
      <c r="B45" s="25" t="s">
        <v>149</v>
      </c>
      <c r="C45" s="24" t="s">
        <v>163</v>
      </c>
      <c r="D45" s="25" t="s">
        <v>293</v>
      </c>
      <c r="E45" s="26" t="s">
        <v>269</v>
      </c>
      <c r="F45" s="27" t="s">
        <v>291</v>
      </c>
    </row>
    <row r="46" spans="1:6" x14ac:dyDescent="0.3">
      <c r="A46" s="24" t="s">
        <v>148</v>
      </c>
      <c r="B46" s="25" t="s">
        <v>149</v>
      </c>
      <c r="C46" s="24" t="s">
        <v>175</v>
      </c>
      <c r="D46" s="25" t="s">
        <v>170</v>
      </c>
      <c r="E46" s="26" t="s">
        <v>269</v>
      </c>
      <c r="F46" s="27" t="s">
        <v>291</v>
      </c>
    </row>
    <row r="47" spans="1:6" x14ac:dyDescent="0.3">
      <c r="A47" s="24" t="s">
        <v>148</v>
      </c>
      <c r="B47" s="25" t="s">
        <v>149</v>
      </c>
      <c r="C47" s="24" t="s">
        <v>176</v>
      </c>
      <c r="D47" s="25" t="s">
        <v>172</v>
      </c>
      <c r="E47" s="26" t="s">
        <v>269</v>
      </c>
      <c r="F47" s="27" t="s">
        <v>291</v>
      </c>
    </row>
    <row r="48" spans="1:6" x14ac:dyDescent="0.3">
      <c r="A48" s="24" t="s">
        <v>148</v>
      </c>
      <c r="B48" s="25" t="s">
        <v>149</v>
      </c>
      <c r="C48" s="24" t="s">
        <v>177</v>
      </c>
      <c r="D48" s="25" t="s">
        <v>178</v>
      </c>
      <c r="E48" s="26" t="s">
        <v>269</v>
      </c>
      <c r="F48" s="27" t="s">
        <v>291</v>
      </c>
    </row>
    <row r="49" spans="1:6" x14ac:dyDescent="0.3">
      <c r="A49" s="24" t="s">
        <v>148</v>
      </c>
      <c r="B49" s="25" t="s">
        <v>149</v>
      </c>
      <c r="C49" s="24" t="s">
        <v>185</v>
      </c>
      <c r="D49" s="25" t="s">
        <v>186</v>
      </c>
      <c r="E49" s="26" t="s">
        <v>269</v>
      </c>
      <c r="F49" s="27" t="s">
        <v>291</v>
      </c>
    </row>
    <row r="50" spans="1:6" x14ac:dyDescent="0.3">
      <c r="A50" s="24" t="s">
        <v>226</v>
      </c>
      <c r="B50" s="25" t="s">
        <v>227</v>
      </c>
      <c r="C50" s="24" t="s">
        <v>229</v>
      </c>
      <c r="D50" s="25" t="s">
        <v>227</v>
      </c>
      <c r="E50" s="26" t="s">
        <v>294</v>
      </c>
      <c r="F50" s="27" t="s">
        <v>295</v>
      </c>
    </row>
    <row r="51" spans="1:6" x14ac:dyDescent="0.3">
      <c r="A51" s="24" t="s">
        <v>296</v>
      </c>
      <c r="B51" s="25" t="s">
        <v>57</v>
      </c>
      <c r="C51" s="24" t="s">
        <v>262</v>
      </c>
      <c r="D51" s="25" t="s">
        <v>263</v>
      </c>
      <c r="E51" s="30" t="s">
        <v>297</v>
      </c>
      <c r="F51" s="27" t="s">
        <v>298</v>
      </c>
    </row>
    <row r="52" spans="1:6" x14ac:dyDescent="0.3">
      <c r="A52" s="24" t="s">
        <v>296</v>
      </c>
      <c r="B52" s="25" t="s">
        <v>57</v>
      </c>
      <c r="C52" s="24" t="s">
        <v>123</v>
      </c>
      <c r="D52" s="25" t="s">
        <v>260</v>
      </c>
      <c r="E52" s="30" t="s">
        <v>299</v>
      </c>
      <c r="F52" s="27" t="s">
        <v>298</v>
      </c>
    </row>
    <row r="53" spans="1:6" x14ac:dyDescent="0.3">
      <c r="A53" s="24" t="s">
        <v>300</v>
      </c>
      <c r="B53" s="25" t="s">
        <v>301</v>
      </c>
      <c r="C53" s="24" t="s">
        <v>302</v>
      </c>
      <c r="D53" s="25" t="s">
        <v>303</v>
      </c>
      <c r="E53" s="26" t="s">
        <v>304</v>
      </c>
      <c r="F53" s="27" t="s">
        <v>305</v>
      </c>
    </row>
    <row r="54" spans="1:6" x14ac:dyDescent="0.3">
      <c r="A54" s="24" t="s">
        <v>306</v>
      </c>
      <c r="B54" s="25" t="s">
        <v>307</v>
      </c>
      <c r="C54" s="24" t="s">
        <v>308</v>
      </c>
      <c r="D54" s="25" t="s">
        <v>309</v>
      </c>
      <c r="E54" s="26" t="s">
        <v>310</v>
      </c>
      <c r="F54" s="27" t="s">
        <v>311</v>
      </c>
    </row>
  </sheetData>
  <mergeCells count="2">
    <mergeCell ref="A2:F2"/>
    <mergeCell ref="A1:F1"/>
  </mergeCells>
  <phoneticPr fontId="2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sqref="A1:C1"/>
    </sheetView>
  </sheetViews>
  <sheetFormatPr defaultRowHeight="16.5" x14ac:dyDescent="0.3"/>
  <cols>
    <col min="1" max="1" width="28" customWidth="1"/>
    <col min="2" max="2" width="32" customWidth="1"/>
    <col min="3" max="3" width="35" customWidth="1"/>
  </cols>
  <sheetData>
    <row r="1" spans="1:3" ht="27.95" customHeight="1" x14ac:dyDescent="0.3">
      <c r="A1" s="43" t="s">
        <v>312</v>
      </c>
      <c r="B1" s="35"/>
      <c r="C1" s="35"/>
    </row>
    <row r="3" spans="1:3" ht="24" customHeight="1" x14ac:dyDescent="0.3">
      <c r="A3" s="42" t="s">
        <v>313</v>
      </c>
      <c r="B3" s="35"/>
      <c r="C3" s="35"/>
    </row>
    <row r="4" spans="1:3" x14ac:dyDescent="0.3">
      <c r="A4" s="6" t="s">
        <v>314</v>
      </c>
      <c r="B4" s="6" t="s">
        <v>315</v>
      </c>
      <c r="C4" s="6" t="s">
        <v>316</v>
      </c>
    </row>
    <row r="5" spans="1:3" ht="32.1" customHeight="1" x14ac:dyDescent="0.3">
      <c r="A5" s="8" t="s">
        <v>317</v>
      </c>
      <c r="B5" s="8" t="s">
        <v>318</v>
      </c>
      <c r="C5" s="8" t="s">
        <v>319</v>
      </c>
    </row>
    <row r="6" spans="1:3" ht="32.1" customHeight="1" x14ac:dyDescent="0.3">
      <c r="A6" s="8" t="s">
        <v>320</v>
      </c>
      <c r="B6" s="8" t="s">
        <v>321</v>
      </c>
      <c r="C6" s="8" t="s">
        <v>322</v>
      </c>
    </row>
    <row r="7" spans="1:3" ht="32.1" customHeight="1" x14ac:dyDescent="0.3">
      <c r="A7" s="31" t="s">
        <v>323</v>
      </c>
      <c r="B7" s="8" t="s">
        <v>324</v>
      </c>
      <c r="C7" s="8" t="s">
        <v>325</v>
      </c>
    </row>
    <row r="10" spans="1:3" ht="24" customHeight="1" x14ac:dyDescent="0.3">
      <c r="A10" s="42" t="s">
        <v>326</v>
      </c>
      <c r="B10" s="35"/>
      <c r="C10" s="35"/>
    </row>
    <row r="11" spans="1:3" x14ac:dyDescent="0.3">
      <c r="A11" s="6" t="s">
        <v>327</v>
      </c>
      <c r="B11" s="6" t="s">
        <v>328</v>
      </c>
      <c r="C11" s="6" t="s">
        <v>329</v>
      </c>
    </row>
    <row r="12" spans="1:3" ht="32.1" customHeight="1" x14ac:dyDescent="0.3">
      <c r="A12" s="8" t="s">
        <v>330</v>
      </c>
      <c r="B12" s="8" t="s">
        <v>331</v>
      </c>
      <c r="C12" s="31" t="s">
        <v>332</v>
      </c>
    </row>
    <row r="13" spans="1:3" ht="32.1" customHeight="1" x14ac:dyDescent="0.3">
      <c r="A13" s="8" t="s">
        <v>333</v>
      </c>
      <c r="B13" s="8" t="s">
        <v>334</v>
      </c>
      <c r="C13" s="31" t="s">
        <v>332</v>
      </c>
    </row>
    <row r="14" spans="1:3" ht="32.1" customHeight="1" x14ac:dyDescent="0.3">
      <c r="A14" s="8" t="s">
        <v>335</v>
      </c>
      <c r="B14" s="8" t="s">
        <v>336</v>
      </c>
      <c r="C14" s="32" t="s">
        <v>337</v>
      </c>
    </row>
  </sheetData>
  <mergeCells count="3">
    <mergeCell ref="A1:C1"/>
    <mergeCell ref="A3:C3"/>
    <mergeCell ref="A10:C10"/>
  </mergeCells>
  <phoneticPr fontId="2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sqref="A1:C1"/>
    </sheetView>
  </sheetViews>
  <sheetFormatPr defaultRowHeight="16.5" x14ac:dyDescent="0.3"/>
  <cols>
    <col min="1" max="1" width="12" customWidth="1"/>
    <col min="2" max="2" width="42" customWidth="1"/>
    <col min="3" max="3" width="55" customWidth="1"/>
  </cols>
  <sheetData>
    <row r="1" spans="1:3" ht="27.95" customHeight="1" x14ac:dyDescent="0.3">
      <c r="A1" s="43" t="s">
        <v>338</v>
      </c>
      <c r="B1" s="35"/>
      <c r="C1" s="35"/>
    </row>
    <row r="3" spans="1:3" ht="26.1" customHeight="1" x14ac:dyDescent="0.3">
      <c r="A3" s="21" t="s">
        <v>339</v>
      </c>
      <c r="B3" s="21" t="s">
        <v>340</v>
      </c>
      <c r="C3" s="21" t="s">
        <v>341</v>
      </c>
    </row>
    <row r="4" spans="1:3" ht="42" customHeight="1" x14ac:dyDescent="0.3">
      <c r="A4" s="2" t="s">
        <v>342</v>
      </c>
      <c r="B4" s="3" t="s">
        <v>343</v>
      </c>
      <c r="C4" s="3" t="s">
        <v>344</v>
      </c>
    </row>
    <row r="5" spans="1:3" ht="42" customHeight="1" x14ac:dyDescent="0.3">
      <c r="A5" s="2" t="s">
        <v>345</v>
      </c>
      <c r="B5" s="3" t="s">
        <v>346</v>
      </c>
      <c r="C5" s="3" t="s">
        <v>347</v>
      </c>
    </row>
    <row r="6" spans="1:3" ht="42" customHeight="1" x14ac:dyDescent="0.3">
      <c r="A6" s="2" t="s">
        <v>348</v>
      </c>
      <c r="B6" s="3" t="s">
        <v>349</v>
      </c>
      <c r="C6" s="3" t="s">
        <v>350</v>
      </c>
    </row>
    <row r="7" spans="1:3" ht="42" customHeight="1" x14ac:dyDescent="0.3">
      <c r="A7" s="2" t="s">
        <v>351</v>
      </c>
      <c r="B7" s="3" t="s">
        <v>352</v>
      </c>
      <c r="C7" s="3" t="s">
        <v>353</v>
      </c>
    </row>
    <row r="8" spans="1:3" ht="42" customHeight="1" x14ac:dyDescent="0.3">
      <c r="A8" s="2" t="s">
        <v>354</v>
      </c>
      <c r="B8" s="4" t="s">
        <v>355</v>
      </c>
      <c r="C8" s="5" t="s">
        <v>356</v>
      </c>
    </row>
    <row r="9" spans="1:3" ht="42" customHeight="1" x14ac:dyDescent="0.3">
      <c r="A9" s="2" t="s">
        <v>357</v>
      </c>
      <c r="B9" s="3" t="s">
        <v>358</v>
      </c>
      <c r="C9" s="33" t="s">
        <v>359</v>
      </c>
    </row>
    <row r="10" spans="1:3" ht="42" customHeight="1" x14ac:dyDescent="0.3">
      <c r="A10" s="2" t="s">
        <v>360</v>
      </c>
      <c r="B10" s="3" t="s">
        <v>361</v>
      </c>
      <c r="C10" s="3" t="s">
        <v>362</v>
      </c>
    </row>
    <row r="11" spans="1:3" ht="42" customHeight="1" x14ac:dyDescent="0.3">
      <c r="A11" s="2" t="s">
        <v>363</v>
      </c>
      <c r="B11" s="3" t="s">
        <v>364</v>
      </c>
      <c r="C11" s="3" t="s">
        <v>365</v>
      </c>
    </row>
    <row r="12" spans="1:3" ht="42" customHeight="1" x14ac:dyDescent="0.3">
      <c r="A12" s="2" t="s">
        <v>366</v>
      </c>
      <c r="B12" s="3" t="s">
        <v>367</v>
      </c>
      <c r="C12" s="3" t="s">
        <v>368</v>
      </c>
    </row>
    <row r="13" spans="1:3" ht="42" customHeight="1" x14ac:dyDescent="0.3">
      <c r="A13" s="2" t="s">
        <v>369</v>
      </c>
      <c r="B13" s="3" t="s">
        <v>370</v>
      </c>
      <c r="C13" s="3" t="s">
        <v>371</v>
      </c>
    </row>
    <row r="14" spans="1:3" ht="42" customHeight="1" x14ac:dyDescent="0.3">
      <c r="A14" s="2" t="s">
        <v>372</v>
      </c>
      <c r="B14" s="3" t="s">
        <v>373</v>
      </c>
      <c r="C14" s="3" t="s">
        <v>374</v>
      </c>
    </row>
    <row r="15" spans="1:3" ht="42" customHeight="1" x14ac:dyDescent="0.3">
      <c r="A15" s="2" t="s">
        <v>372</v>
      </c>
      <c r="B15" s="3" t="s">
        <v>375</v>
      </c>
      <c r="C15" s="3" t="s">
        <v>376</v>
      </c>
    </row>
    <row r="16" spans="1:3" ht="42" customHeight="1" x14ac:dyDescent="0.3">
      <c r="A16" s="2" t="s">
        <v>372</v>
      </c>
      <c r="B16" s="3" t="s">
        <v>377</v>
      </c>
      <c r="C16" s="3" t="s">
        <v>378</v>
      </c>
    </row>
    <row r="17" spans="1:3" ht="42" customHeight="1" x14ac:dyDescent="0.3">
      <c r="A17" s="2" t="s">
        <v>372</v>
      </c>
      <c r="B17" s="3" t="s">
        <v>379</v>
      </c>
      <c r="C17" s="3" t="s">
        <v>380</v>
      </c>
    </row>
  </sheetData>
  <mergeCells count="1">
    <mergeCell ref="A1:C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조문_구조요약</vt:lpstr>
      <vt:lpstr>제1항_투자금액차감</vt:lpstr>
      <vt:lpstr>제2항_세액공제_선택</vt:lpstr>
      <vt:lpstr>제4항_감면공제_매트릭스</vt:lpstr>
      <vt:lpstr>제5항_감면간_택1</vt:lpstr>
      <vt:lpstr>제7_9항_양도소득세</vt:lpstr>
      <vt:lpstr>프로그램용_통합매트릭스</vt:lpstr>
      <vt:lpstr>제10_11항_특례</vt:lpstr>
      <vt:lpstr>실무_체크리스트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2026-04-19T07:32:35Z</dcterms:created>
  <dcterms:modified xsi:type="dcterms:W3CDTF">2026-04-22T07:24:00Z</dcterms:modified>
</cp:coreProperties>
</file>